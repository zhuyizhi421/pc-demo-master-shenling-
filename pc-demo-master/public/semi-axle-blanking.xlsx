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\2026年\20260422江铃底盘减壳&amp;申铃MES项目\1.项目资料\"/>
    </mc:Choice>
  </mc:AlternateContent>
  <xr:revisionPtr revIDLastSave="0" documentId="13_ncr:1_{463DD967-5B63-4937-83BC-319BC075081B}" xr6:coauthVersionLast="47" xr6:coauthVersionMax="47" xr10:uidLastSave="{00000000-0000-0000-0000-000000000000}"/>
  <bookViews>
    <workbookView xWindow="-108" yWindow="-108" windowWidth="23256" windowHeight="12456" tabRatio="636" xr2:uid="{00000000-000D-0000-FFFF-FFFF00000000}"/>
  </bookViews>
  <sheets>
    <sheet name="半轴下料卡(20251226)" sheetId="12" r:id="rId1"/>
  </sheets>
  <definedNames>
    <definedName name="_xlnm._FilterDatabase" localSheetId="0" hidden="1">'半轴下料卡(20251226)'!$A$2:$P$536</definedName>
    <definedName name="_xlnm.Print_Area" localSheetId="0">'半轴下料卡(20251226)'!$A$1:$P$536</definedName>
    <definedName name="_xlnm.Print_Titles" localSheetId="0">'半轴下料卡(20251226)'!$1:$2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2" l="1"/>
  <c r="P6" i="12"/>
  <c r="R6" i="12" s="1"/>
  <c r="P7" i="12"/>
  <c r="R7" i="12" s="1"/>
  <c r="P8" i="12"/>
  <c r="R8" i="12" s="1"/>
  <c r="P9" i="12"/>
  <c r="R9" i="12" s="1"/>
  <c r="P10" i="12"/>
  <c r="R10" i="12" s="1"/>
  <c r="P11" i="12"/>
  <c r="R11" i="12" s="1"/>
  <c r="P12" i="12"/>
  <c r="R12" i="12" s="1"/>
  <c r="P13" i="12"/>
  <c r="R13" i="12" s="1"/>
  <c r="P14" i="12"/>
  <c r="R14" i="12" s="1"/>
  <c r="P15" i="12"/>
  <c r="R15" i="12" s="1"/>
  <c r="P16" i="12"/>
  <c r="R16" i="12" s="1"/>
  <c r="P17" i="12"/>
  <c r="R17" i="12" s="1"/>
  <c r="P18" i="12"/>
  <c r="R18" i="12" s="1"/>
  <c r="P19" i="12"/>
  <c r="R19" i="12" s="1"/>
  <c r="P20" i="12"/>
  <c r="R20" i="12" s="1"/>
  <c r="P21" i="12"/>
  <c r="R21" i="12" s="1"/>
  <c r="P22" i="12"/>
  <c r="P23" i="12"/>
  <c r="P24" i="12"/>
  <c r="R24" i="12" s="1"/>
  <c r="P25" i="12"/>
  <c r="R25" i="12" s="1"/>
  <c r="P26" i="12"/>
  <c r="R26" i="12" s="1"/>
  <c r="P27" i="12"/>
  <c r="R27" i="12" s="1"/>
  <c r="P28" i="12"/>
  <c r="R28" i="12" s="1"/>
  <c r="P29" i="12"/>
  <c r="R29" i="12" s="1"/>
  <c r="P30" i="12"/>
  <c r="R30" i="12" s="1"/>
  <c r="P31" i="12"/>
  <c r="R31" i="12" s="1"/>
  <c r="P32" i="12"/>
  <c r="R32" i="12" s="1"/>
  <c r="P33" i="12"/>
  <c r="R33" i="12" s="1"/>
  <c r="P34" i="12"/>
  <c r="Q34" i="12" s="1"/>
  <c r="P35" i="12"/>
  <c r="R35" i="12" s="1"/>
  <c r="P36" i="12"/>
  <c r="R36" i="12" s="1"/>
  <c r="P37" i="12"/>
  <c r="P38" i="12"/>
  <c r="P39" i="12"/>
  <c r="R39" i="12" s="1"/>
  <c r="P40" i="12"/>
  <c r="R40" i="12" s="1"/>
  <c r="P41" i="12"/>
  <c r="R41" i="12" s="1"/>
  <c r="P42" i="12"/>
  <c r="R42" i="12" s="1"/>
  <c r="P43" i="12"/>
  <c r="R43" i="12" s="1"/>
  <c r="P44" i="12"/>
  <c r="R44" i="12" s="1"/>
  <c r="P45" i="12"/>
  <c r="R45" i="12" s="1"/>
  <c r="P46" i="12"/>
  <c r="R46" i="12" s="1"/>
  <c r="P47" i="12"/>
  <c r="R47" i="12" s="1"/>
  <c r="P48" i="12"/>
  <c r="R48" i="12" s="1"/>
  <c r="P49" i="12"/>
  <c r="R49" i="12" s="1"/>
  <c r="P50" i="12"/>
  <c r="R50" i="12" s="1"/>
  <c r="P51" i="12"/>
  <c r="R51" i="12" s="1"/>
  <c r="P52" i="12"/>
  <c r="R52" i="12" s="1"/>
  <c r="P53" i="12"/>
  <c r="P54" i="12"/>
  <c r="P55" i="12"/>
  <c r="P56" i="12"/>
  <c r="R56" i="12" s="1"/>
  <c r="P57" i="12"/>
  <c r="R57" i="12" s="1"/>
  <c r="P58" i="12"/>
  <c r="R58" i="12" s="1"/>
  <c r="P59" i="12"/>
  <c r="R59" i="12" s="1"/>
  <c r="P60" i="12"/>
  <c r="R60" i="12" s="1"/>
  <c r="P61" i="12"/>
  <c r="R61" i="12" s="1"/>
  <c r="P62" i="12"/>
  <c r="P63" i="12"/>
  <c r="R63" i="12" s="1"/>
  <c r="P64" i="12"/>
  <c r="R64" i="12" s="1"/>
  <c r="P65" i="12"/>
  <c r="R65" i="12" s="1"/>
  <c r="P66" i="12"/>
  <c r="R66" i="12" s="1"/>
  <c r="P67" i="12"/>
  <c r="R67" i="12" s="1"/>
  <c r="P68" i="12"/>
  <c r="R68" i="12" s="1"/>
  <c r="P69" i="12"/>
  <c r="P70" i="12"/>
  <c r="R70" i="12" s="1"/>
  <c r="P71" i="12"/>
  <c r="R71" i="12" s="1"/>
  <c r="P72" i="12"/>
  <c r="P73" i="12"/>
  <c r="P74" i="12"/>
  <c r="P75" i="12"/>
  <c r="R75" i="12" s="1"/>
  <c r="P76" i="12"/>
  <c r="R76" i="12" s="1"/>
  <c r="P77" i="12"/>
  <c r="R77" i="12" s="1"/>
  <c r="P78" i="12"/>
  <c r="R78" i="12" s="1"/>
  <c r="P79" i="12"/>
  <c r="R79" i="12" s="1"/>
  <c r="P80" i="12"/>
  <c r="R80" i="12" s="1"/>
  <c r="P81" i="12"/>
  <c r="R81" i="12" s="1"/>
  <c r="P82" i="12"/>
  <c r="R82" i="12" s="1"/>
  <c r="P83" i="12"/>
  <c r="R83" i="12" s="1"/>
  <c r="P84" i="12"/>
  <c r="R84" i="12" s="1"/>
  <c r="P85" i="12"/>
  <c r="R85" i="12" s="1"/>
  <c r="P86" i="12"/>
  <c r="R86" i="12" s="1"/>
  <c r="P87" i="12"/>
  <c r="R87" i="12" s="1"/>
  <c r="P88" i="12"/>
  <c r="R88" i="12" s="1"/>
  <c r="P89" i="12"/>
  <c r="R89" i="12" s="1"/>
  <c r="P90" i="12"/>
  <c r="R90" i="12" s="1"/>
  <c r="P91" i="12"/>
  <c r="R91" i="12" s="1"/>
  <c r="P92" i="12"/>
  <c r="R92" i="12" s="1"/>
  <c r="P93" i="12"/>
  <c r="R93" i="12" s="1"/>
  <c r="P94" i="12"/>
  <c r="R94" i="12" s="1"/>
  <c r="P95" i="12"/>
  <c r="R95" i="12" s="1"/>
  <c r="P96" i="12"/>
  <c r="R96" i="12" s="1"/>
  <c r="P97" i="12"/>
  <c r="R97" i="12" s="1"/>
  <c r="P98" i="12"/>
  <c r="R98" i="12" s="1"/>
  <c r="P99" i="12"/>
  <c r="R99" i="12" s="1"/>
  <c r="P100" i="12"/>
  <c r="R100" i="12" s="1"/>
  <c r="P101" i="12"/>
  <c r="R101" i="12" s="1"/>
  <c r="P102" i="12"/>
  <c r="R102" i="12" s="1"/>
  <c r="P103" i="12"/>
  <c r="R103" i="12" s="1"/>
  <c r="P104" i="12"/>
  <c r="R104" i="12" s="1"/>
  <c r="P105" i="12"/>
  <c r="R105" i="12" s="1"/>
  <c r="P106" i="12"/>
  <c r="P107" i="12"/>
  <c r="P108" i="12"/>
  <c r="R108" i="12" s="1"/>
  <c r="P109" i="12"/>
  <c r="R109" i="12" s="1"/>
  <c r="P110" i="12"/>
  <c r="R110" i="12" s="1"/>
  <c r="P111" i="12"/>
  <c r="R111" i="12" s="1"/>
  <c r="P112" i="12"/>
  <c r="R112" i="12" s="1"/>
  <c r="P113" i="12"/>
  <c r="R113" i="12" s="1"/>
  <c r="P114" i="12"/>
  <c r="R114" i="12" s="1"/>
  <c r="P115" i="12"/>
  <c r="R115" i="12" s="1"/>
  <c r="P116" i="12"/>
  <c r="R116" i="12" s="1"/>
  <c r="P117" i="12"/>
  <c r="P118" i="12"/>
  <c r="P119" i="12"/>
  <c r="R119" i="12" s="1"/>
  <c r="P120" i="12"/>
  <c r="R120" i="12" s="1"/>
  <c r="P121" i="12"/>
  <c r="R121" i="12" s="1"/>
  <c r="P122" i="12"/>
  <c r="R122" i="12" s="1"/>
  <c r="P123" i="12"/>
  <c r="R123" i="12" s="1"/>
  <c r="P124" i="12"/>
  <c r="R124" i="12" s="1"/>
  <c r="P125" i="12"/>
  <c r="R125" i="12" s="1"/>
  <c r="P126" i="12"/>
  <c r="R126" i="12" s="1"/>
  <c r="P127" i="12"/>
  <c r="R127" i="12" s="1"/>
  <c r="P128" i="12"/>
  <c r="R128" i="12" s="1"/>
  <c r="P129" i="12"/>
  <c r="R129" i="12" s="1"/>
  <c r="P130" i="12"/>
  <c r="R130" i="12" s="1"/>
  <c r="P131" i="12"/>
  <c r="R131" i="12" s="1"/>
  <c r="P132" i="12"/>
  <c r="R132" i="12" s="1"/>
  <c r="P133" i="12"/>
  <c r="P134" i="12"/>
  <c r="R134" i="12" s="1"/>
  <c r="P135" i="12"/>
  <c r="R135" i="12" s="1"/>
  <c r="P136" i="12"/>
  <c r="R136" i="12" s="1"/>
  <c r="P137" i="12"/>
  <c r="R137" i="12" s="1"/>
  <c r="P138" i="12"/>
  <c r="R138" i="12" s="1"/>
  <c r="P139" i="12"/>
  <c r="R139" i="12" s="1"/>
  <c r="P140" i="12"/>
  <c r="R140" i="12" s="1"/>
  <c r="P141" i="12"/>
  <c r="R141" i="12" s="1"/>
  <c r="P142" i="12"/>
  <c r="R142" i="12" s="1"/>
  <c r="P143" i="12"/>
  <c r="R143" i="12" s="1"/>
  <c r="P144" i="12"/>
  <c r="R144" i="12" s="1"/>
  <c r="P145" i="12"/>
  <c r="R145" i="12" s="1"/>
  <c r="P146" i="12"/>
  <c r="R146" i="12" s="1"/>
  <c r="P147" i="12"/>
  <c r="R147" i="12" s="1"/>
  <c r="P148" i="12"/>
  <c r="R148" i="12" s="1"/>
  <c r="P149" i="12"/>
  <c r="R149" i="12" s="1"/>
  <c r="P150" i="12"/>
  <c r="P151" i="12"/>
  <c r="R151" i="12" s="1"/>
  <c r="P152" i="12"/>
  <c r="R152" i="12" s="1"/>
  <c r="P153" i="12"/>
  <c r="R153" i="12" s="1"/>
  <c r="P154" i="12"/>
  <c r="R154" i="12" s="1"/>
  <c r="P155" i="12"/>
  <c r="R155" i="12" s="1"/>
  <c r="P156" i="12"/>
  <c r="R156" i="12" s="1"/>
  <c r="P157" i="12"/>
  <c r="R157" i="12" s="1"/>
  <c r="P158" i="12"/>
  <c r="R158" i="12" s="1"/>
  <c r="P159" i="12"/>
  <c r="R159" i="12" s="1"/>
  <c r="P160" i="12"/>
  <c r="R160" i="12" s="1"/>
  <c r="P161" i="12"/>
  <c r="R161" i="12" s="1"/>
  <c r="P162" i="12"/>
  <c r="R162" i="12" s="1"/>
  <c r="P163" i="12"/>
  <c r="R163" i="12" s="1"/>
  <c r="P164" i="12"/>
  <c r="R164" i="12" s="1"/>
  <c r="P165" i="12"/>
  <c r="P166" i="12"/>
  <c r="R166" i="12" s="1"/>
  <c r="P167" i="12"/>
  <c r="R167" i="12" s="1"/>
  <c r="P168" i="12"/>
  <c r="R168" i="12" s="1"/>
  <c r="P169" i="12"/>
  <c r="R169" i="12" s="1"/>
  <c r="P170" i="12"/>
  <c r="R170" i="12" s="1"/>
  <c r="P171" i="12"/>
  <c r="R171" i="12" s="1"/>
  <c r="P172" i="12"/>
  <c r="R172" i="12" s="1"/>
  <c r="P173" i="12"/>
  <c r="R173" i="12" s="1"/>
  <c r="P174" i="12"/>
  <c r="R174" i="12" s="1"/>
  <c r="P175" i="12"/>
  <c r="R175" i="12" s="1"/>
  <c r="P176" i="12"/>
  <c r="R176" i="12" s="1"/>
  <c r="P177" i="12"/>
  <c r="R177" i="12" s="1"/>
  <c r="P178" i="12"/>
  <c r="R178" i="12" s="1"/>
  <c r="P179" i="12"/>
  <c r="R179" i="12" s="1"/>
  <c r="P180" i="12"/>
  <c r="R180" i="12" s="1"/>
  <c r="P181" i="12"/>
  <c r="R181" i="12" s="1"/>
  <c r="P182" i="12"/>
  <c r="P183" i="12"/>
  <c r="R183" i="12" s="1"/>
  <c r="P184" i="12"/>
  <c r="R184" i="12" s="1"/>
  <c r="P185" i="12"/>
  <c r="R185" i="12" s="1"/>
  <c r="P186" i="12"/>
  <c r="R186" i="12" s="1"/>
  <c r="P187" i="12"/>
  <c r="R187" i="12" s="1"/>
  <c r="P188" i="12"/>
  <c r="R188" i="12" s="1"/>
  <c r="P189" i="12"/>
  <c r="P190" i="12"/>
  <c r="P191" i="12"/>
  <c r="P192" i="12"/>
  <c r="R192" i="12" s="1"/>
  <c r="P193" i="12"/>
  <c r="R193" i="12" s="1"/>
  <c r="P194" i="12"/>
  <c r="R194" i="12" s="1"/>
  <c r="P195" i="12"/>
  <c r="R195" i="12" s="1"/>
  <c r="P196" i="12"/>
  <c r="R196" i="12" s="1"/>
  <c r="P197" i="12"/>
  <c r="P198" i="12"/>
  <c r="P199" i="12"/>
  <c r="R199" i="12" s="1"/>
  <c r="P200" i="12"/>
  <c r="R200" i="12" s="1"/>
  <c r="P201" i="12"/>
  <c r="R201" i="12" s="1"/>
  <c r="P202" i="12"/>
  <c r="R202" i="12" s="1"/>
  <c r="P203" i="12"/>
  <c r="R203" i="12" s="1"/>
  <c r="P204" i="12"/>
  <c r="R204" i="12" s="1"/>
  <c r="P205" i="12"/>
  <c r="R205" i="12" s="1"/>
  <c r="P206" i="12"/>
  <c r="R206" i="12" s="1"/>
  <c r="P207" i="12"/>
  <c r="R207" i="12" s="1"/>
  <c r="P208" i="12"/>
  <c r="R208" i="12" s="1"/>
  <c r="P209" i="12"/>
  <c r="R209" i="12" s="1"/>
  <c r="P210" i="12"/>
  <c r="R210" i="12" s="1"/>
  <c r="P211" i="12"/>
  <c r="R211" i="12" s="1"/>
  <c r="P212" i="12"/>
  <c r="R212" i="12" s="1"/>
  <c r="P213" i="12"/>
  <c r="P214" i="12"/>
  <c r="R214" i="12" s="1"/>
  <c r="P215" i="12"/>
  <c r="R215" i="12" s="1"/>
  <c r="P216" i="12"/>
  <c r="R216" i="12" s="1"/>
  <c r="P217" i="12"/>
  <c r="R217" i="12" s="1"/>
  <c r="P218" i="12"/>
  <c r="R218" i="12" s="1"/>
  <c r="P219" i="12"/>
  <c r="R219" i="12" s="1"/>
  <c r="P220" i="12"/>
  <c r="R220" i="12" s="1"/>
  <c r="P221" i="12"/>
  <c r="R221" i="12" s="1"/>
  <c r="P222" i="12"/>
  <c r="R222" i="12" s="1"/>
  <c r="P223" i="12"/>
  <c r="R223" i="12" s="1"/>
  <c r="P224" i="12"/>
  <c r="R224" i="12" s="1"/>
  <c r="P225" i="12"/>
  <c r="R225" i="12" s="1"/>
  <c r="P226" i="12"/>
  <c r="R226" i="12" s="1"/>
  <c r="P227" i="12"/>
  <c r="R227" i="12" s="1"/>
  <c r="P228" i="12"/>
  <c r="R228" i="12" s="1"/>
  <c r="P229" i="12"/>
  <c r="P230" i="12"/>
  <c r="R230" i="12" s="1"/>
  <c r="P231" i="12"/>
  <c r="R231" i="12" s="1"/>
  <c r="P232" i="12"/>
  <c r="R232" i="12" s="1"/>
  <c r="P233" i="12"/>
  <c r="R233" i="12" s="1"/>
  <c r="P234" i="12"/>
  <c r="R234" i="12" s="1"/>
  <c r="P235" i="12"/>
  <c r="R235" i="12" s="1"/>
  <c r="P236" i="12"/>
  <c r="R236" i="12" s="1"/>
  <c r="P237" i="12"/>
  <c r="P238" i="12"/>
  <c r="R238" i="12" s="1"/>
  <c r="P239" i="12"/>
  <c r="R239" i="12" s="1"/>
  <c r="P240" i="12"/>
  <c r="R240" i="12" s="1"/>
  <c r="P241" i="12"/>
  <c r="R241" i="12" s="1"/>
  <c r="P242" i="12"/>
  <c r="R242" i="12" s="1"/>
  <c r="P243" i="12"/>
  <c r="R243" i="12" s="1"/>
  <c r="P244" i="12"/>
  <c r="R244" i="12" s="1"/>
  <c r="P245" i="12"/>
  <c r="R245" i="12" s="1"/>
  <c r="P246" i="12"/>
  <c r="P247" i="12"/>
  <c r="R247" i="12" s="1"/>
  <c r="P248" i="12"/>
  <c r="R248" i="12" s="1"/>
  <c r="P249" i="12"/>
  <c r="R249" i="12" s="1"/>
  <c r="P250" i="12"/>
  <c r="P251" i="12"/>
  <c r="R251" i="12" s="1"/>
  <c r="P252" i="12"/>
  <c r="R252" i="12" s="1"/>
  <c r="P253" i="12"/>
  <c r="R253" i="12" s="1"/>
  <c r="P254" i="12"/>
  <c r="R254" i="12" s="1"/>
  <c r="P255" i="12"/>
  <c r="R255" i="12" s="1"/>
  <c r="P256" i="12"/>
  <c r="R256" i="12" s="1"/>
  <c r="P257" i="12"/>
  <c r="R257" i="12" s="1"/>
  <c r="P258" i="12"/>
  <c r="R258" i="12" s="1"/>
  <c r="P259" i="12"/>
  <c r="R259" i="12" s="1"/>
  <c r="P260" i="12"/>
  <c r="R260" i="12" s="1"/>
  <c r="P261" i="12"/>
  <c r="R261" i="12" s="1"/>
  <c r="P262" i="12"/>
  <c r="P263" i="12"/>
  <c r="R263" i="12" s="1"/>
  <c r="P264" i="12"/>
  <c r="R264" i="12" s="1"/>
  <c r="P265" i="12"/>
  <c r="R265" i="12" s="1"/>
  <c r="P266" i="12"/>
  <c r="P267" i="12"/>
  <c r="R267" i="12" s="1"/>
  <c r="P268" i="12"/>
  <c r="R268" i="12" s="1"/>
  <c r="P269" i="12"/>
  <c r="R269" i="12" s="1"/>
  <c r="P270" i="12"/>
  <c r="R270" i="12" s="1"/>
  <c r="P271" i="12"/>
  <c r="R271" i="12" s="1"/>
  <c r="P272" i="12"/>
  <c r="R272" i="12" s="1"/>
  <c r="P273" i="12"/>
  <c r="R273" i="12" s="1"/>
  <c r="P274" i="12"/>
  <c r="R274" i="12" s="1"/>
  <c r="P275" i="12"/>
  <c r="R275" i="12" s="1"/>
  <c r="P276" i="12"/>
  <c r="R276" i="12" s="1"/>
  <c r="P277" i="12"/>
  <c r="R277" i="12" s="1"/>
  <c r="P278" i="12"/>
  <c r="R278" i="12" s="1"/>
  <c r="P279" i="12"/>
  <c r="R279" i="12" s="1"/>
  <c r="P280" i="12"/>
  <c r="R280" i="12" s="1"/>
  <c r="P281" i="12"/>
  <c r="R281" i="12" s="1"/>
  <c r="P282" i="12"/>
  <c r="R282" i="12" s="1"/>
  <c r="P283" i="12"/>
  <c r="R283" i="12" s="1"/>
  <c r="P284" i="12"/>
  <c r="R284" i="12" s="1"/>
  <c r="P285" i="12"/>
  <c r="R285" i="12" s="1"/>
  <c r="P286" i="12"/>
  <c r="R286" i="12" s="1"/>
  <c r="P287" i="12"/>
  <c r="R287" i="12" s="1"/>
  <c r="P288" i="12"/>
  <c r="R288" i="12" s="1"/>
  <c r="P289" i="12"/>
  <c r="R289" i="12" s="1"/>
  <c r="P290" i="12"/>
  <c r="R290" i="12" s="1"/>
  <c r="P291" i="12"/>
  <c r="R291" i="12" s="1"/>
  <c r="P292" i="12"/>
  <c r="R292" i="12" s="1"/>
  <c r="P293" i="12"/>
  <c r="R293" i="12" s="1"/>
  <c r="P294" i="12"/>
  <c r="P295" i="12"/>
  <c r="P296" i="12"/>
  <c r="P297" i="12"/>
  <c r="R297" i="12" s="1"/>
  <c r="P298" i="12"/>
  <c r="R298" i="12" s="1"/>
  <c r="P299" i="12"/>
  <c r="R299" i="12" s="1"/>
  <c r="P300" i="12"/>
  <c r="R300" i="12" s="1"/>
  <c r="P301" i="12"/>
  <c r="R301" i="12" s="1"/>
  <c r="P302" i="12"/>
  <c r="R302" i="12" s="1"/>
  <c r="P303" i="12"/>
  <c r="R303" i="12" s="1"/>
  <c r="P304" i="12"/>
  <c r="R304" i="12" s="1"/>
  <c r="P305" i="12"/>
  <c r="R305" i="12" s="1"/>
  <c r="P306" i="12"/>
  <c r="R306" i="12" s="1"/>
  <c r="P307" i="12"/>
  <c r="R307" i="12" s="1"/>
  <c r="P308" i="12"/>
  <c r="R308" i="12" s="1"/>
  <c r="P309" i="12"/>
  <c r="P310" i="12"/>
  <c r="R310" i="12" s="1"/>
  <c r="P311" i="12"/>
  <c r="R311" i="12" s="1"/>
  <c r="P312" i="12"/>
  <c r="R312" i="12" s="1"/>
  <c r="P313" i="12"/>
  <c r="R313" i="12" s="1"/>
  <c r="P314" i="12"/>
  <c r="R314" i="12" s="1"/>
  <c r="P315" i="12"/>
  <c r="R315" i="12" s="1"/>
  <c r="P316" i="12"/>
  <c r="R316" i="12" s="1"/>
  <c r="P317" i="12"/>
  <c r="R317" i="12" s="1"/>
  <c r="P318" i="12"/>
  <c r="R318" i="12" s="1"/>
  <c r="P319" i="12"/>
  <c r="R319" i="12" s="1"/>
  <c r="P320" i="12"/>
  <c r="R320" i="12" s="1"/>
  <c r="P321" i="12"/>
  <c r="R321" i="12" s="1"/>
  <c r="P322" i="12"/>
  <c r="R322" i="12" s="1"/>
  <c r="P323" i="12"/>
  <c r="R323" i="12" s="1"/>
  <c r="P324" i="12"/>
  <c r="R324" i="12" s="1"/>
  <c r="P325" i="12"/>
  <c r="P326" i="12"/>
  <c r="P327" i="12"/>
  <c r="P328" i="12"/>
  <c r="R328" i="12" s="1"/>
  <c r="P329" i="12"/>
  <c r="R329" i="12" s="1"/>
  <c r="P330" i="12"/>
  <c r="R330" i="12" s="1"/>
  <c r="P331" i="12"/>
  <c r="R331" i="12" s="1"/>
  <c r="P332" i="12"/>
  <c r="R332" i="12" s="1"/>
  <c r="P333" i="12"/>
  <c r="R333" i="12" s="1"/>
  <c r="P334" i="12"/>
  <c r="R334" i="12" s="1"/>
  <c r="P335" i="12"/>
  <c r="R335" i="12" s="1"/>
  <c r="P336" i="12"/>
  <c r="R336" i="12" s="1"/>
  <c r="P337" i="12"/>
  <c r="R337" i="12" s="1"/>
  <c r="P338" i="12"/>
  <c r="Q338" i="12" s="1"/>
  <c r="P339" i="12"/>
  <c r="Q339" i="12" s="1"/>
  <c r="P340" i="12"/>
  <c r="R340" i="12" s="1"/>
  <c r="P341" i="12"/>
  <c r="P342" i="12"/>
  <c r="R342" i="12" s="1"/>
  <c r="P343" i="12"/>
  <c r="R343" i="12" s="1"/>
  <c r="P344" i="12"/>
  <c r="R344" i="12" s="1"/>
  <c r="P345" i="12"/>
  <c r="P346" i="12"/>
  <c r="R346" i="12" s="1"/>
  <c r="P347" i="12"/>
  <c r="R347" i="12" s="1"/>
  <c r="P348" i="12"/>
  <c r="R348" i="12" s="1"/>
  <c r="P349" i="12"/>
  <c r="R349" i="12" s="1"/>
  <c r="P350" i="12"/>
  <c r="R350" i="12" s="1"/>
  <c r="P351" i="12"/>
  <c r="R351" i="12" s="1"/>
  <c r="P352" i="12"/>
  <c r="R352" i="12" s="1"/>
  <c r="P353" i="12"/>
  <c r="R353" i="12" s="1"/>
  <c r="P354" i="12"/>
  <c r="R354" i="12" s="1"/>
  <c r="P355" i="12"/>
  <c r="R355" i="12" s="1"/>
  <c r="P356" i="12"/>
  <c r="R356" i="12" s="1"/>
  <c r="P357" i="12"/>
  <c r="P358" i="12"/>
  <c r="P359" i="12"/>
  <c r="R359" i="12" s="1"/>
  <c r="P360" i="12"/>
  <c r="R360" i="12" s="1"/>
  <c r="P361" i="12"/>
  <c r="R361" i="12" s="1"/>
  <c r="P362" i="12"/>
  <c r="P363" i="12"/>
  <c r="P364" i="12"/>
  <c r="R364" i="12" s="1"/>
  <c r="P365" i="12"/>
  <c r="R365" i="12" s="1"/>
  <c r="P366" i="12"/>
  <c r="R366" i="12" s="1"/>
  <c r="P367" i="12"/>
  <c r="R367" i="12" s="1"/>
  <c r="P368" i="12"/>
  <c r="Q368" i="12" s="1"/>
  <c r="P369" i="12"/>
  <c r="R369" i="12" s="1"/>
  <c r="P370" i="12"/>
  <c r="R370" i="12" s="1"/>
  <c r="P371" i="12"/>
  <c r="R371" i="12" s="1"/>
  <c r="P372" i="12"/>
  <c r="R372" i="12" s="1"/>
  <c r="P373" i="12"/>
  <c r="P374" i="12"/>
  <c r="Q374" i="12" s="1"/>
  <c r="P375" i="12"/>
  <c r="Q375" i="12" s="1"/>
  <c r="P376" i="12"/>
  <c r="R376" i="12" s="1"/>
  <c r="P377" i="12"/>
  <c r="R377" i="12" s="1"/>
  <c r="P378" i="12"/>
  <c r="R378" i="12" s="1"/>
  <c r="P379" i="12"/>
  <c r="R379" i="12" s="1"/>
  <c r="P380" i="12"/>
  <c r="R380" i="12" s="1"/>
  <c r="P381" i="12"/>
  <c r="R381" i="12" s="1"/>
  <c r="P382" i="12"/>
  <c r="R382" i="12" s="1"/>
  <c r="P383" i="12"/>
  <c r="R383" i="12" s="1"/>
  <c r="P384" i="12"/>
  <c r="R384" i="12" s="1"/>
  <c r="P385" i="12"/>
  <c r="R385" i="12" s="1"/>
  <c r="P386" i="12"/>
  <c r="R386" i="12" s="1"/>
  <c r="P387" i="12"/>
  <c r="R387" i="12" s="1"/>
  <c r="P388" i="12"/>
  <c r="R388" i="12" s="1"/>
  <c r="P389" i="12"/>
  <c r="R389" i="12" s="1"/>
  <c r="P390" i="12"/>
  <c r="R390" i="12" s="1"/>
  <c r="P391" i="12"/>
  <c r="R391" i="12" s="1"/>
  <c r="P392" i="12"/>
  <c r="P393" i="12"/>
  <c r="R393" i="12" s="1"/>
  <c r="P394" i="12"/>
  <c r="R394" i="12" s="1"/>
  <c r="P395" i="12"/>
  <c r="R395" i="12" s="1"/>
  <c r="P396" i="12"/>
  <c r="R396" i="12" s="1"/>
  <c r="P397" i="12"/>
  <c r="R397" i="12" s="1"/>
  <c r="P398" i="12"/>
  <c r="R398" i="12" s="1"/>
  <c r="P399" i="12"/>
  <c r="R399" i="12" s="1"/>
  <c r="P400" i="12"/>
  <c r="R400" i="12" s="1"/>
  <c r="P401" i="12"/>
  <c r="R401" i="12" s="1"/>
  <c r="P402" i="12"/>
  <c r="R402" i="12" s="1"/>
  <c r="P403" i="12"/>
  <c r="R403" i="12" s="1"/>
  <c r="P404" i="12"/>
  <c r="R404" i="12" s="1"/>
  <c r="P405" i="12"/>
  <c r="R405" i="12" s="1"/>
  <c r="P406" i="12"/>
  <c r="R406" i="12" s="1"/>
  <c r="P407" i="12"/>
  <c r="R407" i="12" s="1"/>
  <c r="P408" i="12"/>
  <c r="R408" i="12" s="1"/>
  <c r="P409" i="12"/>
  <c r="R409" i="12" s="1"/>
  <c r="P410" i="12"/>
  <c r="P411" i="12"/>
  <c r="P412" i="12"/>
  <c r="R412" i="12" s="1"/>
  <c r="P413" i="12"/>
  <c r="R413" i="12" s="1"/>
  <c r="P414" i="12"/>
  <c r="R414" i="12" s="1"/>
  <c r="P415" i="12"/>
  <c r="R415" i="12" s="1"/>
  <c r="P416" i="12"/>
  <c r="R416" i="12" s="1"/>
  <c r="P417" i="12"/>
  <c r="Q417" i="12" s="1"/>
  <c r="P418" i="12"/>
  <c r="R418" i="12" s="1"/>
  <c r="P419" i="12"/>
  <c r="R419" i="12" s="1"/>
  <c r="P420" i="12"/>
  <c r="R420" i="12" s="1"/>
  <c r="P421" i="12"/>
  <c r="P422" i="12"/>
  <c r="R422" i="12" s="1"/>
  <c r="P423" i="12"/>
  <c r="R423" i="12" s="1"/>
  <c r="P424" i="12"/>
  <c r="R424" i="12" s="1"/>
  <c r="P425" i="12"/>
  <c r="R425" i="12" s="1"/>
  <c r="P426" i="12"/>
  <c r="R426" i="12" s="1"/>
  <c r="P427" i="12"/>
  <c r="R427" i="12" s="1"/>
  <c r="P428" i="12"/>
  <c r="R428" i="12" s="1"/>
  <c r="P429" i="12"/>
  <c r="R429" i="12" s="1"/>
  <c r="P430" i="12"/>
  <c r="R430" i="12" s="1"/>
  <c r="P431" i="12"/>
  <c r="R431" i="12" s="1"/>
  <c r="P432" i="12"/>
  <c r="R432" i="12" s="1"/>
  <c r="P433" i="12"/>
  <c r="R433" i="12" s="1"/>
  <c r="P434" i="12"/>
  <c r="R434" i="12" s="1"/>
  <c r="P435" i="12"/>
  <c r="R435" i="12" s="1"/>
  <c r="P436" i="12"/>
  <c r="R436" i="12" s="1"/>
  <c r="P437" i="12"/>
  <c r="P438" i="12"/>
  <c r="P439" i="12"/>
  <c r="P440" i="12"/>
  <c r="P441" i="12"/>
  <c r="R441" i="12" s="1"/>
  <c r="P442" i="12"/>
  <c r="R442" i="12" s="1"/>
  <c r="P443" i="12"/>
  <c r="R443" i="12" s="1"/>
  <c r="P444" i="12"/>
  <c r="R444" i="12" s="1"/>
  <c r="P445" i="12"/>
  <c r="R445" i="12" s="1"/>
  <c r="P446" i="12"/>
  <c r="R446" i="12" s="1"/>
  <c r="P447" i="12"/>
  <c r="R447" i="12" s="1"/>
  <c r="P448" i="12"/>
  <c r="R448" i="12" s="1"/>
  <c r="P449" i="12"/>
  <c r="R449" i="12" s="1"/>
  <c r="P450" i="12"/>
  <c r="R450" i="12" s="1"/>
  <c r="P451" i="12"/>
  <c r="R451" i="12" s="1"/>
  <c r="P452" i="12"/>
  <c r="R452" i="12" s="1"/>
  <c r="P453" i="12"/>
  <c r="R453" i="12" s="1"/>
  <c r="P454" i="12"/>
  <c r="R454" i="12" s="1"/>
  <c r="P455" i="12"/>
  <c r="R455" i="12" s="1"/>
  <c r="P456" i="12"/>
  <c r="R456" i="12" s="1"/>
  <c r="P457" i="12"/>
  <c r="R457" i="12" s="1"/>
  <c r="P458" i="12"/>
  <c r="R458" i="12" s="1"/>
  <c r="P459" i="12"/>
  <c r="R459" i="12" s="1"/>
  <c r="P460" i="12"/>
  <c r="R460" i="12" s="1"/>
  <c r="P461" i="12"/>
  <c r="R461" i="12" s="1"/>
  <c r="P462" i="12"/>
  <c r="R462" i="12" s="1"/>
  <c r="P463" i="12"/>
  <c r="R463" i="12" s="1"/>
  <c r="P464" i="12"/>
  <c r="R464" i="12" s="1"/>
  <c r="P465" i="12"/>
  <c r="R465" i="12" s="1"/>
  <c r="P466" i="12"/>
  <c r="R466" i="12" s="1"/>
  <c r="P467" i="12"/>
  <c r="R467" i="12" s="1"/>
  <c r="P468" i="12"/>
  <c r="R468" i="12" s="1"/>
  <c r="P469" i="12"/>
  <c r="P470" i="12"/>
  <c r="R470" i="12" s="1"/>
  <c r="P471" i="12"/>
  <c r="R471" i="12" s="1"/>
  <c r="P472" i="12"/>
  <c r="R472" i="12" s="1"/>
  <c r="P473" i="12"/>
  <c r="R473" i="12" s="1"/>
  <c r="P474" i="12"/>
  <c r="R474" i="12" s="1"/>
  <c r="P475" i="12"/>
  <c r="R475" i="12" s="1"/>
  <c r="P476" i="12"/>
  <c r="R476" i="12" s="1"/>
  <c r="P477" i="12"/>
  <c r="R477" i="12" s="1"/>
  <c r="P478" i="12"/>
  <c r="R478" i="12" s="1"/>
  <c r="P479" i="12"/>
  <c r="R479" i="12" s="1"/>
  <c r="P480" i="12"/>
  <c r="R480" i="12" s="1"/>
  <c r="P481" i="12"/>
  <c r="R481" i="12" s="1"/>
  <c r="P482" i="12"/>
  <c r="R482" i="12" s="1"/>
  <c r="P483" i="12"/>
  <c r="R483" i="12" s="1"/>
  <c r="P484" i="12"/>
  <c r="R484" i="12" s="1"/>
  <c r="P485" i="12"/>
  <c r="P486" i="12"/>
  <c r="P487" i="12"/>
  <c r="R487" i="12" s="1"/>
  <c r="P488" i="12"/>
  <c r="R488" i="12" s="1"/>
  <c r="P489" i="12"/>
  <c r="R489" i="12" s="1"/>
  <c r="P490" i="12"/>
  <c r="R490" i="12" s="1"/>
  <c r="P491" i="12"/>
  <c r="R491" i="12" s="1"/>
  <c r="P492" i="12"/>
  <c r="R492" i="12" s="1"/>
  <c r="P493" i="12"/>
  <c r="R493" i="12" s="1"/>
  <c r="P494" i="12"/>
  <c r="R494" i="12" s="1"/>
  <c r="P495" i="12"/>
  <c r="R495" i="12" s="1"/>
  <c r="P496" i="12"/>
  <c r="R496" i="12" s="1"/>
  <c r="P497" i="12"/>
  <c r="R497" i="12" s="1"/>
  <c r="P498" i="12"/>
  <c r="R498" i="12" s="1"/>
  <c r="P499" i="12"/>
  <c r="R499" i="12" s="1"/>
  <c r="P500" i="12"/>
  <c r="R500" i="12" s="1"/>
  <c r="P501" i="12"/>
  <c r="R501" i="12" s="1"/>
  <c r="P502" i="12"/>
  <c r="P503" i="12"/>
  <c r="R503" i="12" s="1"/>
  <c r="P504" i="12"/>
  <c r="R504" i="12" s="1"/>
  <c r="P505" i="12"/>
  <c r="R505" i="12" s="1"/>
  <c r="P506" i="12"/>
  <c r="R506" i="12" s="1"/>
  <c r="P507" i="12"/>
  <c r="R507" i="12" s="1"/>
  <c r="P508" i="12"/>
  <c r="R508" i="12" s="1"/>
  <c r="P509" i="12"/>
  <c r="R509" i="12" s="1"/>
  <c r="P510" i="12"/>
  <c r="R510" i="12" s="1"/>
  <c r="P511" i="12"/>
  <c r="R511" i="12" s="1"/>
  <c r="P512" i="12"/>
  <c r="R512" i="12" s="1"/>
  <c r="P513" i="12"/>
  <c r="R513" i="12" s="1"/>
  <c r="P514" i="12"/>
  <c r="R514" i="12" s="1"/>
  <c r="P515" i="12"/>
  <c r="R515" i="12" s="1"/>
  <c r="P516" i="12"/>
  <c r="R516" i="12" s="1"/>
  <c r="P517" i="12"/>
  <c r="R517" i="12" s="1"/>
  <c r="P518" i="12"/>
  <c r="P519" i="12"/>
  <c r="P520" i="12"/>
  <c r="R520" i="12" s="1"/>
  <c r="P521" i="12"/>
  <c r="R521" i="12" s="1"/>
  <c r="P522" i="12"/>
  <c r="P523" i="12"/>
  <c r="R523" i="12" s="1"/>
  <c r="P524" i="12"/>
  <c r="R524" i="12" s="1"/>
  <c r="P525" i="12"/>
  <c r="R525" i="12" s="1"/>
  <c r="P526" i="12"/>
  <c r="R526" i="12" s="1"/>
  <c r="P527" i="12"/>
  <c r="R527" i="12" s="1"/>
  <c r="P528" i="12"/>
  <c r="R528" i="12" s="1"/>
  <c r="P529" i="12"/>
  <c r="R529" i="12" s="1"/>
  <c r="P530" i="12"/>
  <c r="R530" i="12" s="1"/>
  <c r="P531" i="12"/>
  <c r="R531" i="12" s="1"/>
  <c r="P532" i="12"/>
  <c r="R532" i="12" s="1"/>
  <c r="P533" i="12"/>
  <c r="R533" i="12" s="1"/>
  <c r="P534" i="12"/>
  <c r="P535" i="12"/>
  <c r="P536" i="12"/>
  <c r="R536" i="12" s="1"/>
  <c r="P4" i="12"/>
  <c r="R4" i="12" s="1"/>
  <c r="P3" i="12"/>
  <c r="R3" i="12" s="1"/>
  <c r="R117" i="12"/>
  <c r="R118" i="12"/>
  <c r="R189" i="12"/>
  <c r="R190" i="12"/>
  <c r="R191" i="12"/>
  <c r="R237" i="12"/>
  <c r="R373" i="12"/>
  <c r="R374" i="12"/>
  <c r="R437" i="12"/>
  <c r="R502" i="12"/>
  <c r="R22" i="12"/>
  <c r="R23" i="12"/>
  <c r="R37" i="12"/>
  <c r="R38" i="12"/>
  <c r="R53" i="12"/>
  <c r="R54" i="12"/>
  <c r="R55" i="12"/>
  <c r="R62" i="12"/>
  <c r="R69" i="12"/>
  <c r="R72" i="12"/>
  <c r="R73" i="12"/>
  <c r="R74" i="12"/>
  <c r="R106" i="12"/>
  <c r="R107" i="12"/>
  <c r="R133" i="12"/>
  <c r="R150" i="12"/>
  <c r="R165" i="12"/>
  <c r="R182" i="12"/>
  <c r="R197" i="12"/>
  <c r="R198" i="12"/>
  <c r="R213" i="12"/>
  <c r="R229" i="12"/>
  <c r="R246" i="12"/>
  <c r="R262" i="12"/>
  <c r="R294" i="12"/>
  <c r="R295" i="12"/>
  <c r="R296" i="12"/>
  <c r="R309" i="12"/>
  <c r="R325" i="12"/>
  <c r="R326" i="12"/>
  <c r="R327" i="12"/>
  <c r="R341" i="12"/>
  <c r="R362" i="12"/>
  <c r="R363" i="12"/>
  <c r="R392" i="12"/>
  <c r="R410" i="12"/>
  <c r="R411" i="12"/>
  <c r="R421" i="12"/>
  <c r="R438" i="12"/>
  <c r="R439" i="12"/>
  <c r="R440" i="12"/>
  <c r="R469" i="12"/>
  <c r="R485" i="12"/>
  <c r="R486" i="12"/>
  <c r="R518" i="12"/>
  <c r="R519" i="12"/>
  <c r="R522" i="12"/>
  <c r="R534" i="12"/>
  <c r="R535" i="12"/>
  <c r="R5" i="12"/>
  <c r="Q363" i="12"/>
  <c r="Q331" i="12"/>
  <c r="R417" i="12" l="1"/>
  <c r="R368" i="12"/>
  <c r="Q357" i="12"/>
  <c r="R357" i="12"/>
  <c r="R34" i="12"/>
  <c r="Q358" i="12"/>
  <c r="R358" i="12"/>
  <c r="R375" i="12"/>
  <c r="Q266" i="12"/>
  <c r="R266" i="12"/>
  <c r="Q250" i="12"/>
  <c r="R250" i="12"/>
  <c r="Q345" i="12"/>
  <c r="R345" i="12"/>
  <c r="R339" i="12"/>
  <c r="R338" i="12"/>
  <c r="Q536" i="12"/>
  <c r="Q535" i="12" l="1"/>
  <c r="Q534" i="12"/>
  <c r="Q531" i="12" l="1"/>
  <c r="Q533" i="12" l="1"/>
  <c r="Q532" i="12"/>
  <c r="Q530" i="12"/>
  <c r="Q529" i="12"/>
  <c r="Q528" i="12" l="1"/>
  <c r="Q527" i="12" l="1"/>
  <c r="Q525" i="12" l="1"/>
  <c r="Q526" i="12"/>
  <c r="Q524" i="12" l="1"/>
  <c r="Q523" i="12"/>
  <c r="Q522" i="12" l="1"/>
  <c r="Q520" i="12"/>
  <c r="Q518" i="12" l="1"/>
  <c r="Q521" i="12"/>
  <c r="Q519" i="12"/>
  <c r="Q346" i="12"/>
  <c r="Q517" i="12" l="1"/>
  <c r="Q514" i="12" l="1"/>
  <c r="Q513" i="12"/>
  <c r="Q511" i="12" l="1"/>
  <c r="Q512" i="12"/>
  <c r="Q510" i="12" l="1"/>
  <c r="Q509" i="12" l="1"/>
  <c r="Q508" i="12"/>
  <c r="Q507" i="12" l="1"/>
  <c r="Q505" i="12"/>
  <c r="Q506" i="12" l="1"/>
  <c r="Q504" i="12" l="1"/>
  <c r="Q501" i="12"/>
  <c r="Q503" i="12" l="1"/>
  <c r="Q502" i="12"/>
  <c r="Q500" i="12"/>
  <c r="Q499" i="12" l="1"/>
  <c r="Q498" i="12"/>
  <c r="Q497" i="12" l="1"/>
  <c r="Q496" i="12"/>
  <c r="Q492" i="12" l="1"/>
  <c r="Q490" i="12"/>
  <c r="Q489" i="12" l="1"/>
  <c r="Q495" i="12"/>
  <c r="Q494" i="12"/>
  <c r="Q493" i="12"/>
  <c r="Q491" i="12"/>
  <c r="Q488" i="12"/>
  <c r="Q487" i="12"/>
  <c r="Q486" i="12"/>
  <c r="Q485" i="12"/>
  <c r="Q484" i="12"/>
  <c r="Q182" i="12"/>
  <c r="Q483" i="12" l="1"/>
  <c r="Q267" i="12"/>
  <c r="Q88" i="12"/>
  <c r="Q482" i="12" l="1"/>
  <c r="Q370" i="12"/>
  <c r="Q481" i="12" l="1"/>
  <c r="Q480" i="12"/>
  <c r="Q479" i="12"/>
  <c r="Q478" i="12"/>
  <c r="Q350" i="12"/>
  <c r="Q477" i="12" l="1"/>
  <c r="Q476" i="12"/>
  <c r="Q475" i="12"/>
  <c r="Q474" i="12" l="1"/>
  <c r="Q472" i="12"/>
  <c r="Q473" i="12" l="1"/>
  <c r="Q471" i="12"/>
  <c r="Q470" i="12"/>
  <c r="Q469" i="12" l="1"/>
  <c r="Q467" i="12" l="1"/>
  <c r="Q466" i="12"/>
  <c r="Q465" i="12" l="1"/>
  <c r="Q464" i="12"/>
  <c r="Q462" i="12" l="1"/>
  <c r="Q461" i="12"/>
  <c r="Q76" i="12" l="1"/>
  <c r="Q19" i="12" l="1"/>
  <c r="Q460" i="12" l="1"/>
  <c r="Q459" i="12"/>
  <c r="Q458" i="12" l="1"/>
  <c r="Q456" i="12" l="1"/>
  <c r="Q455" i="12" l="1"/>
  <c r="Q453" i="12" l="1"/>
  <c r="Q452" i="12" l="1"/>
  <c r="Q450" i="12" l="1"/>
  <c r="Q448" i="12"/>
  <c r="Q449" i="12" l="1"/>
  <c r="Q451" i="12"/>
  <c r="Q446" i="12"/>
  <c r="Q445" i="12"/>
  <c r="Q447" i="12" l="1"/>
  <c r="Q438" i="12" l="1"/>
  <c r="Q444" i="12" l="1"/>
  <c r="Q443" i="12"/>
  <c r="Q442" i="12" l="1"/>
  <c r="Q441" i="12" l="1"/>
  <c r="Q440" i="12"/>
  <c r="Q351" i="12"/>
  <c r="Q439" i="12" l="1"/>
  <c r="Q437" i="12"/>
  <c r="Q184" i="12" l="1"/>
  <c r="Q341" i="12" l="1"/>
  <c r="Q340" i="12"/>
  <c r="Q436" i="12" l="1"/>
  <c r="Q435" i="12" l="1"/>
  <c r="Q434" i="12" l="1"/>
  <c r="Q433" i="12" l="1"/>
  <c r="Q425" i="12"/>
  <c r="Q421" i="12"/>
  <c r="Q422" i="12" l="1"/>
  <c r="Q420" i="12"/>
  <c r="Q426" i="12"/>
  <c r="Q419" i="12"/>
  <c r="Q423" i="12"/>
  <c r="Q424" i="12"/>
  <c r="Q427" i="12"/>
  <c r="Q428" i="12"/>
  <c r="Q429" i="12"/>
  <c r="Q430" i="12"/>
  <c r="Q431" i="12"/>
  <c r="Q432" i="12"/>
  <c r="Q418" i="12"/>
  <c r="Q416" i="12" l="1"/>
  <c r="Q415" i="12" l="1"/>
  <c r="Q80" i="12" l="1"/>
  <c r="Q181" i="12" l="1"/>
  <c r="Q183" i="12"/>
  <c r="Q414" i="12" l="1"/>
  <c r="Q413" i="12"/>
  <c r="Q412" i="12" l="1"/>
  <c r="Q411" i="12"/>
  <c r="Q292" i="12" l="1"/>
  <c r="Q410" i="12" l="1"/>
  <c r="Q4" i="12"/>
  <c r="Q115" i="12"/>
  <c r="Q373" i="12"/>
  <c r="Q280" i="12"/>
  <c r="Q109" i="12"/>
  <c r="Q86" i="12"/>
  <c r="Q72" i="12"/>
  <c r="Q53" i="12"/>
  <c r="Q59" i="12"/>
  <c r="Q48" i="12"/>
  <c r="Q46" i="12"/>
  <c r="Q45" i="12"/>
  <c r="Q43" i="12"/>
  <c r="Q409" i="12"/>
  <c r="Q408" i="12"/>
  <c r="Q407" i="12"/>
  <c r="Q406" i="12"/>
  <c r="Q405" i="12"/>
  <c r="Q404" i="12"/>
  <c r="Q403" i="12"/>
  <c r="Q402" i="12"/>
  <c r="Q399" i="12"/>
  <c r="Q401" i="12"/>
  <c r="Q400" i="12"/>
  <c r="Q223" i="12"/>
  <c r="Q398" i="12"/>
  <c r="Q397" i="12"/>
  <c r="Q396" i="12"/>
  <c r="Q395" i="12"/>
  <c r="Q394" i="12"/>
  <c r="Q392" i="12"/>
  <c r="Q391" i="12"/>
  <c r="Q390" i="12"/>
  <c r="Q389" i="12"/>
  <c r="Q387" i="12"/>
  <c r="Q240" i="12"/>
  <c r="Q33" i="12"/>
  <c r="Q38" i="12"/>
  <c r="Q39" i="12"/>
  <c r="Q40" i="12"/>
  <c r="Q44" i="12"/>
  <c r="Q56" i="12"/>
  <c r="Q65" i="12"/>
  <c r="Q67" i="12"/>
  <c r="Q68" i="12"/>
  <c r="Q69" i="12"/>
  <c r="Q70" i="12"/>
  <c r="Q71" i="12"/>
  <c r="Q379" i="12"/>
  <c r="Q158" i="12"/>
  <c r="Q152" i="12"/>
  <c r="Q151" i="12"/>
  <c r="Q150" i="12"/>
  <c r="Q147" i="12"/>
  <c r="Q144" i="12"/>
  <c r="Q141" i="12"/>
  <c r="Q139" i="12"/>
  <c r="Q137" i="12"/>
  <c r="Q127" i="12"/>
  <c r="Q119" i="12"/>
  <c r="Q110" i="12"/>
  <c r="Q96" i="12"/>
  <c r="Q93" i="12"/>
  <c r="Q89" i="12"/>
  <c r="Q35" i="12"/>
  <c r="Q255" i="12"/>
  <c r="Q386" i="12" l="1"/>
  <c r="Q393" i="12"/>
  <c r="Q388" i="12"/>
  <c r="Q130" i="12" l="1"/>
  <c r="Q81" i="12"/>
  <c r="Q330" i="12"/>
  <c r="Q306" i="12"/>
  <c r="Q275" i="12"/>
  <c r="Q8" i="12"/>
  <c r="Q342" i="12"/>
  <c r="Q313" i="12"/>
  <c r="Q312" i="12"/>
  <c r="Q305" i="12"/>
  <c r="Q32" i="12"/>
  <c r="Q31" i="12"/>
  <c r="Q23" i="12"/>
  <c r="Q20" i="12"/>
  <c r="Q291" i="12"/>
  <c r="Q329" i="12"/>
  <c r="Q332" i="12"/>
  <c r="Q328" i="12"/>
  <c r="Q311" i="12"/>
  <c r="Q294" i="12"/>
  <c r="Q293" i="12"/>
  <c r="Q253" i="12"/>
  <c r="Q252" i="12"/>
  <c r="Q251" i="12"/>
  <c r="Q249" i="12"/>
  <c r="Q238" i="12"/>
  <c r="Q237" i="12"/>
  <c r="Q236" i="12"/>
  <c r="Q235" i="12"/>
  <c r="Q234" i="12"/>
  <c r="Q385" i="12" l="1"/>
  <c r="Q384" i="12" l="1"/>
  <c r="Q356" i="12"/>
  <c r="Q383" i="12" l="1"/>
  <c r="Q382" i="12"/>
  <c r="Q381" i="12" l="1"/>
  <c r="Q380" i="12"/>
  <c r="Q202" i="12" l="1"/>
  <c r="Q298" i="12"/>
  <c r="Q295" i="12"/>
  <c r="Q172" i="12" l="1"/>
  <c r="Q169" i="12"/>
  <c r="Q162" i="12"/>
  <c r="Q157" i="12"/>
  <c r="Q161" i="12"/>
  <c r="Q82" i="12" l="1"/>
  <c r="Q324" i="12"/>
  <c r="Q310" i="12"/>
  <c r="Q352" i="12"/>
  <c r="Q322" i="12"/>
  <c r="Q282" i="12"/>
  <c r="Q175" i="12"/>
  <c r="Q168" i="12"/>
  <c r="Q173" i="12"/>
  <c r="Q58" i="12"/>
  <c r="Q57" i="12"/>
  <c r="Q367" i="12"/>
  <c r="Q10" i="12"/>
  <c r="Q14" i="12"/>
  <c r="Q248" i="12" l="1"/>
  <c r="Q316" i="12"/>
  <c r="Q317" i="12"/>
  <c r="Q164" i="12"/>
  <c r="Q154" i="12"/>
  <c r="Q148" i="12"/>
  <c r="Q153" i="12"/>
  <c r="Q73" i="12"/>
  <c r="Q77" i="12"/>
  <c r="Q54" i="12"/>
  <c r="Q285" i="12"/>
  <c r="Q344" i="12"/>
  <c r="Q372" i="12"/>
  <c r="Q336" i="12"/>
  <c r="Q304" i="12"/>
  <c r="Q308" i="12"/>
  <c r="Q314" i="12"/>
  <c r="Q299" i="12"/>
  <c r="Q287" i="12"/>
  <c r="Q274" i="12"/>
  <c r="Q307" i="12"/>
  <c r="Q270" i="12"/>
  <c r="Q179" i="12"/>
  <c r="Q170" i="12"/>
  <c r="Q85" i="12"/>
  <c r="Q84" i="12"/>
  <c r="Q276" i="12"/>
  <c r="Q309" i="12"/>
  <c r="Q268" i="12"/>
  <c r="Q134" i="12"/>
  <c r="Q377" i="12"/>
  <c r="Q378" i="12"/>
  <c r="Q376" i="12"/>
  <c r="Q371" i="12"/>
  <c r="Q369" i="12"/>
  <c r="Q366" i="12"/>
  <c r="Q365" i="12"/>
  <c r="Q364" i="12"/>
  <c r="Q359" i="12"/>
  <c r="Q360" i="12"/>
  <c r="Q361" i="12"/>
  <c r="Q362" i="12"/>
  <c r="Q353" i="12"/>
  <c r="Q354" i="12"/>
  <c r="Q355" i="12"/>
  <c r="Q349" i="12"/>
  <c r="Q348" i="12"/>
  <c r="Q347" i="12"/>
  <c r="Q343" i="12"/>
  <c r="Q334" i="12"/>
  <c r="Q335" i="12"/>
  <c r="Q337" i="12"/>
  <c r="Q333" i="12"/>
  <c r="Q327" i="12"/>
  <c r="Q326" i="12"/>
  <c r="Q315" i="12"/>
  <c r="Q318" i="12"/>
  <c r="Q319" i="12"/>
  <c r="Q320" i="12"/>
  <c r="Q321" i="12"/>
  <c r="Q323" i="12"/>
  <c r="Q325" i="12"/>
  <c r="Q296" i="12"/>
  <c r="Q297" i="12"/>
  <c r="Q300" i="12"/>
  <c r="Q301" i="12"/>
  <c r="Q302" i="12"/>
  <c r="Q303" i="12"/>
  <c r="Q290" i="12"/>
  <c r="Q289" i="12"/>
  <c r="Q271" i="12"/>
  <c r="Q272" i="12"/>
  <c r="Q273" i="12"/>
  <c r="Q277" i="12"/>
  <c r="Q278" i="12"/>
  <c r="Q279" i="12"/>
  <c r="Q281" i="12"/>
  <c r="Q283" i="12"/>
  <c r="Q284" i="12"/>
  <c r="Q286" i="12"/>
  <c r="Q288" i="12"/>
  <c r="Q269" i="12"/>
  <c r="Q265" i="12"/>
  <c r="Q264" i="12"/>
  <c r="Q263" i="12"/>
  <c r="Q257" i="12"/>
  <c r="Q258" i="12"/>
  <c r="Q259" i="12"/>
  <c r="Q260" i="12"/>
  <c r="Q261" i="12"/>
  <c r="Q262" i="12"/>
  <c r="Q256" i="12"/>
  <c r="Q254" i="12"/>
  <c r="Q243" i="12"/>
  <c r="Q244" i="12"/>
  <c r="Q245" i="12"/>
  <c r="Q246" i="12"/>
  <c r="Q247" i="12"/>
  <c r="Q242" i="12"/>
  <c r="Q241" i="12"/>
  <c r="Q239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4" i="12"/>
  <c r="Q225" i="12"/>
  <c r="Q226" i="12"/>
  <c r="Q227" i="12"/>
  <c r="Q228" i="12"/>
  <c r="Q229" i="12"/>
  <c r="Q230" i="12"/>
  <c r="Q231" i="12"/>
  <c r="Q232" i="12"/>
  <c r="Q233" i="12"/>
  <c r="Q201" i="12"/>
  <c r="Q200" i="12"/>
  <c r="Q189" i="12"/>
  <c r="Q190" i="12"/>
  <c r="Q191" i="12"/>
  <c r="Q192" i="12"/>
  <c r="Q193" i="12"/>
  <c r="Q194" i="12"/>
  <c r="Q195" i="12"/>
  <c r="Q196" i="12"/>
  <c r="Q197" i="12"/>
  <c r="Q198" i="12"/>
  <c r="Q199" i="12"/>
  <c r="Q188" i="12"/>
  <c r="Q186" i="12"/>
  <c r="Q187" i="12"/>
  <c r="Q185" i="12"/>
  <c r="Q180" i="12"/>
  <c r="Q159" i="12"/>
  <c r="Q160" i="12"/>
  <c r="Q163" i="12"/>
  <c r="Q165" i="12"/>
  <c r="Q166" i="12"/>
  <c r="Q167" i="12"/>
  <c r="Q171" i="12"/>
  <c r="Q174" i="12"/>
  <c r="Q176" i="12"/>
  <c r="Q177" i="12"/>
  <c r="Q178" i="12"/>
  <c r="Q156" i="12"/>
  <c r="Q155" i="12"/>
  <c r="Q149" i="12"/>
  <c r="Q146" i="12"/>
  <c r="Q132" i="12"/>
  <c r="Q133" i="12"/>
  <c r="Q135" i="12"/>
  <c r="Q136" i="12"/>
  <c r="Q138" i="12"/>
  <c r="Q140" i="12"/>
  <c r="Q142" i="12"/>
  <c r="Q143" i="12"/>
  <c r="Q145" i="12"/>
  <c r="Q131" i="12"/>
  <c r="Q128" i="12"/>
  <c r="Q129" i="12"/>
  <c r="Q126" i="12"/>
  <c r="Q125" i="12"/>
  <c r="Q124" i="12"/>
  <c r="Q116" i="12"/>
  <c r="Q117" i="12"/>
  <c r="Q118" i="12"/>
  <c r="Q120" i="12"/>
  <c r="Q121" i="12"/>
  <c r="Q122" i="12"/>
  <c r="Q123" i="12"/>
  <c r="Q6" i="12"/>
  <c r="Q111" i="12"/>
  <c r="Q112" i="12"/>
  <c r="Q113" i="12"/>
  <c r="Q114" i="12"/>
  <c r="Q108" i="12"/>
  <c r="Q107" i="12"/>
  <c r="Q103" i="12"/>
  <c r="Q104" i="12"/>
  <c r="Q105" i="12"/>
  <c r="Q106" i="12"/>
  <c r="Q102" i="12"/>
  <c r="Q94" i="12"/>
  <c r="Q95" i="12"/>
  <c r="Q97" i="12"/>
  <c r="Q98" i="12"/>
  <c r="Q99" i="12"/>
  <c r="Q100" i="12"/>
  <c r="Q101" i="12"/>
  <c r="Q83" i="12"/>
  <c r="Q87" i="12"/>
  <c r="Q90" i="12"/>
  <c r="Q91" i="12"/>
  <c r="Q92" i="12"/>
  <c r="Q64" i="12"/>
  <c r="Q66" i="12"/>
  <c r="Q74" i="12"/>
  <c r="Q75" i="12"/>
  <c r="Q78" i="12"/>
  <c r="Q79" i="12"/>
  <c r="Q63" i="12"/>
  <c r="Q62" i="12"/>
  <c r="Q36" i="12"/>
  <c r="Q37" i="12"/>
  <c r="Q41" i="12"/>
  <c r="Q42" i="12"/>
  <c r="Q47" i="12"/>
  <c r="Q49" i="12"/>
  <c r="Q50" i="12"/>
  <c r="Q51" i="12"/>
  <c r="Q52" i="12"/>
  <c r="Q55" i="12"/>
  <c r="Q60" i="12"/>
  <c r="Q61" i="12"/>
  <c r="Q30" i="12"/>
  <c r="Q24" i="12"/>
  <c r="Q25" i="12"/>
  <c r="Q26" i="12"/>
  <c r="Q27" i="12"/>
  <c r="Q28" i="12"/>
  <c r="Q29" i="12"/>
  <c r="Q22" i="12"/>
  <c r="Q21" i="12"/>
  <c r="Q17" i="12"/>
  <c r="Q18" i="12"/>
  <c r="Q16" i="12"/>
  <c r="Q15" i="12"/>
  <c r="Q13" i="12"/>
  <c r="Q9" i="12"/>
  <c r="Q5" i="12"/>
  <c r="Q7" i="12"/>
  <c r="Q11" i="12"/>
  <c r="Q12" i="12"/>
  <c r="Q3" i="12"/>
</calcChain>
</file>

<file path=xl/sharedStrings.xml><?xml version="1.0" encoding="utf-8"?>
<sst xmlns="http://schemas.openxmlformats.org/spreadsheetml/2006/main" count="3083" uniqueCount="580">
  <si>
    <t>序号</t>
  </si>
  <si>
    <t>半轴型号</t>
  </si>
  <si>
    <t>下料尺寸（mm）</t>
  </si>
  <si>
    <t>料头长度(mm)</t>
  </si>
  <si>
    <t>备注</t>
  </si>
  <si>
    <t>11A3-1</t>
  </si>
  <si>
    <t>CHA6500M9-A5</t>
  </si>
  <si>
    <t>JMC1027S-A5-1</t>
  </si>
  <si>
    <t>JXW1021P0S-A3</t>
  </si>
  <si>
    <t>N350HB-A5</t>
  </si>
  <si>
    <t>HS6486-A5</t>
  </si>
  <si>
    <t>BJ6489S-A5</t>
  </si>
  <si>
    <t>ZN1027-A5</t>
  </si>
  <si>
    <t>ZN1027-A6</t>
  </si>
  <si>
    <t>ZN1031-A5</t>
  </si>
  <si>
    <t>ZN1031-A6</t>
  </si>
  <si>
    <t>ZN3120P0S-A5</t>
  </si>
  <si>
    <t>ZN1021P0S-A5</t>
  </si>
  <si>
    <t>ZN1021P0S-A6</t>
  </si>
  <si>
    <t>JMC1027S-A5</t>
  </si>
  <si>
    <t>JMC1028S-A5</t>
  </si>
  <si>
    <t>XMQ6498-A5</t>
  </si>
  <si>
    <t>摩擦焊生产</t>
  </si>
  <si>
    <t>NJL6498-A5</t>
  </si>
  <si>
    <t>XMQ6541S1-A5</t>
  </si>
  <si>
    <t>XMQ6541P9-A5</t>
  </si>
  <si>
    <t>N350HS-A5</t>
  </si>
  <si>
    <t>N350HL-A5</t>
  </si>
  <si>
    <t>JMC6470T0S-A5</t>
  </si>
  <si>
    <t>BJ6538S-A5</t>
  </si>
  <si>
    <t>JMC1026-A5</t>
  </si>
  <si>
    <t>JMC6476-A5</t>
  </si>
  <si>
    <t>SC1021S-A3</t>
  </si>
  <si>
    <t>SC1021S-A4</t>
  </si>
  <si>
    <t>BJ1046V8-A6</t>
  </si>
  <si>
    <t>BJ1046V8-A6-2</t>
  </si>
  <si>
    <t>JL1048-A5</t>
  </si>
  <si>
    <t>JMC1065-A5-1</t>
  </si>
  <si>
    <t>JMC1023S-A5</t>
  </si>
  <si>
    <t>JML1025-A5-1</t>
  </si>
  <si>
    <t>JMC1070P8W-A3</t>
  </si>
  <si>
    <t>AB12880</t>
  </si>
  <si>
    <t>AB13300</t>
  </si>
  <si>
    <t>8A6-1</t>
  </si>
  <si>
    <t>AB1464R</t>
  </si>
  <si>
    <t>8A6-2</t>
  </si>
  <si>
    <t>8A6-3</t>
  </si>
  <si>
    <t>8A6-4</t>
  </si>
  <si>
    <t>JP30M7-A6</t>
  </si>
  <si>
    <t>WL6600-A5</t>
  </si>
  <si>
    <t>WL6601-A5</t>
  </si>
  <si>
    <t>8A6-A</t>
  </si>
  <si>
    <t>9A6</t>
  </si>
  <si>
    <t>15A3-C</t>
  </si>
  <si>
    <t>BJ1039V3A-A3</t>
  </si>
  <si>
    <t>BJ1039M8S2-A5</t>
  </si>
  <si>
    <t>ZN1030-A3</t>
  </si>
  <si>
    <t>AB12420</t>
  </si>
  <si>
    <t>AB13400</t>
  </si>
  <si>
    <t>AB14110</t>
  </si>
  <si>
    <t>11A3</t>
  </si>
  <si>
    <t>AB1256L</t>
  </si>
  <si>
    <t>AB1257R</t>
  </si>
  <si>
    <t>AB1286L</t>
  </si>
  <si>
    <t>AB1302L</t>
  </si>
  <si>
    <t>AB1301R</t>
  </si>
  <si>
    <t>AB1311L</t>
  </si>
  <si>
    <t>AB1312R</t>
  </si>
  <si>
    <t>AB1398L</t>
  </si>
  <si>
    <t>AB1399R</t>
  </si>
  <si>
    <t>AB1435L</t>
  </si>
  <si>
    <t>AB1436R</t>
  </si>
  <si>
    <t>AB12590</t>
  </si>
  <si>
    <t>AB12600</t>
  </si>
  <si>
    <t>AB12750</t>
  </si>
  <si>
    <t>AB12760</t>
  </si>
  <si>
    <t>AB12790</t>
  </si>
  <si>
    <t>AB12800</t>
  </si>
  <si>
    <t>AB12850</t>
  </si>
  <si>
    <t>AB13060</t>
  </si>
  <si>
    <t>AB13100</t>
  </si>
  <si>
    <t>AB13220</t>
  </si>
  <si>
    <t>AB13230</t>
  </si>
  <si>
    <t>AB13270</t>
  </si>
  <si>
    <t>AB13340</t>
  </si>
  <si>
    <t>AB13470</t>
  </si>
  <si>
    <t>AB13590</t>
  </si>
  <si>
    <t>AB13600</t>
  </si>
  <si>
    <t>AB13610</t>
  </si>
  <si>
    <t>AB13700</t>
  </si>
  <si>
    <t>AB13770</t>
  </si>
  <si>
    <t>AB13900</t>
  </si>
  <si>
    <t>AB14000</t>
  </si>
  <si>
    <t>AB14010</t>
  </si>
  <si>
    <t>AB14030</t>
  </si>
  <si>
    <t>AB14130</t>
  </si>
  <si>
    <t>AB14140</t>
  </si>
  <si>
    <t>AB14150</t>
  </si>
  <si>
    <t>AB14170</t>
  </si>
  <si>
    <t>AB14210</t>
  </si>
  <si>
    <t>AB14250</t>
  </si>
  <si>
    <t>AB14520</t>
  </si>
  <si>
    <t>AB14530</t>
  </si>
  <si>
    <t>AB14720</t>
  </si>
  <si>
    <t>BJ6488P0S-A5</t>
  </si>
  <si>
    <t>BJ6609S-A5</t>
  </si>
  <si>
    <t>杆部不加工</t>
  </si>
  <si>
    <t>CA1-A6</t>
  </si>
  <si>
    <t>CA1021HS-A5</t>
  </si>
  <si>
    <t>JMC1063-A5</t>
  </si>
  <si>
    <t>JMC1065-A5</t>
  </si>
  <si>
    <t>JMC1065-A5-2</t>
  </si>
  <si>
    <t>JXW2020Q-AB1-1</t>
  </si>
  <si>
    <t>NJL1031-A5</t>
  </si>
  <si>
    <t>NJL1031-A6</t>
  </si>
  <si>
    <t>V348ABA-A2-1</t>
  </si>
  <si>
    <t>YN1030-A6</t>
  </si>
  <si>
    <t>YT1031-A5</t>
  </si>
  <si>
    <t>YT1030-A5</t>
  </si>
  <si>
    <t>ZBK5030D8S-A6</t>
  </si>
  <si>
    <t>ZBK5030D8S-A5</t>
  </si>
  <si>
    <t>ZN3125T1S-A5</t>
  </si>
  <si>
    <t>ZN3125T1S-A6</t>
  </si>
  <si>
    <t>ZN3126P0S-A5</t>
  </si>
  <si>
    <t>ZN3126P0S-A6</t>
  </si>
  <si>
    <t>DR50T8FD-A5</t>
  </si>
  <si>
    <t>JMC1041S-A6</t>
  </si>
  <si>
    <t>AB12710</t>
  </si>
  <si>
    <t>AB14770</t>
  </si>
  <si>
    <t>BJ6476T0S-A5</t>
  </si>
  <si>
    <t>JMC1028S-A5-2</t>
  </si>
  <si>
    <t>自动线生产</t>
  </si>
  <si>
    <t>AB14390</t>
  </si>
  <si>
    <t>BJ1034S-A5</t>
  </si>
  <si>
    <t>BJ1035S-A5</t>
  </si>
  <si>
    <t>V348AAA-A2-1</t>
  </si>
  <si>
    <t>AB1501L</t>
  </si>
  <si>
    <t>AB1502R</t>
  </si>
  <si>
    <t>AB1566L</t>
  </si>
  <si>
    <t>AB1567R</t>
  </si>
  <si>
    <t>AB1519L</t>
  </si>
  <si>
    <t>AB1520R</t>
  </si>
  <si>
    <t>AB1522R</t>
  </si>
  <si>
    <t>AB1524R</t>
  </si>
  <si>
    <t>AB1525L</t>
  </si>
  <si>
    <t>AB1526R</t>
  </si>
  <si>
    <t>AB1530L</t>
  </si>
  <si>
    <t>AB1531R</t>
  </si>
  <si>
    <t>AB1532L</t>
  </si>
  <si>
    <t>AB1533R</t>
  </si>
  <si>
    <t>AB1547R</t>
  </si>
  <si>
    <t>AB1545R</t>
  </si>
  <si>
    <t>AB1560L</t>
  </si>
  <si>
    <t>AB1561R</t>
  </si>
  <si>
    <t>AB1579L</t>
  </si>
  <si>
    <t>AB15180</t>
  </si>
  <si>
    <t>BJ1037P0S-A5</t>
  </si>
  <si>
    <t>AB15870</t>
  </si>
  <si>
    <t>AB15880</t>
  </si>
  <si>
    <t>AB14590</t>
  </si>
  <si>
    <t>AB1460L</t>
  </si>
  <si>
    <t>AB1461L</t>
  </si>
  <si>
    <t>AB1480L</t>
  </si>
  <si>
    <t>AB1481R</t>
  </si>
  <si>
    <t>AB15270</t>
  </si>
  <si>
    <t>AB1563R</t>
  </si>
  <si>
    <t>AB1562L</t>
  </si>
  <si>
    <t>AB1539R</t>
  </si>
  <si>
    <t>AB13240</t>
  </si>
  <si>
    <t>BJ1038S-A5</t>
  </si>
  <si>
    <t>XML6481P0S-A5</t>
  </si>
  <si>
    <t>AB1441L</t>
  </si>
  <si>
    <t>AB1607L</t>
  </si>
  <si>
    <t>AB1608R</t>
  </si>
  <si>
    <t>AB1442R</t>
  </si>
  <si>
    <t>TL-A5</t>
  </si>
  <si>
    <t>TL2-A1</t>
  </si>
  <si>
    <t>7A5</t>
  </si>
  <si>
    <t>LF6470P0-AIL</t>
  </si>
  <si>
    <t>LF6470P0-AIR</t>
  </si>
  <si>
    <t>JMC1020S-A5</t>
  </si>
  <si>
    <t>TL-A5-ABS</t>
  </si>
  <si>
    <t>BJ1027M7-A1</t>
  </si>
  <si>
    <t>3A12-ABS</t>
  </si>
  <si>
    <t>AB1269L</t>
  </si>
  <si>
    <t>AB12950</t>
  </si>
  <si>
    <t>AB13250</t>
  </si>
  <si>
    <t>AB1328L</t>
  </si>
  <si>
    <t>AB1329R</t>
  </si>
  <si>
    <t>AB14340</t>
  </si>
  <si>
    <t>AB14490</t>
  </si>
  <si>
    <t>AB1450L</t>
  </si>
  <si>
    <t>AB1451R</t>
  </si>
  <si>
    <t>AB1470L</t>
  </si>
  <si>
    <t>AB1471R</t>
  </si>
  <si>
    <t>AB1478L</t>
  </si>
  <si>
    <t>AB1479R</t>
  </si>
  <si>
    <t>AB1457L</t>
  </si>
  <si>
    <t>AB1458R</t>
  </si>
  <si>
    <t>XMQ6541S1-A5-1</t>
  </si>
  <si>
    <t>XMQ6590-A5</t>
  </si>
  <si>
    <t>YT1031-A6</t>
  </si>
  <si>
    <t>AB12620</t>
  </si>
  <si>
    <t>AB13580</t>
  </si>
  <si>
    <t>AB1383L</t>
  </si>
  <si>
    <t>AB1384R</t>
  </si>
  <si>
    <t>AB14050</t>
  </si>
  <si>
    <t>AB14070</t>
  </si>
  <si>
    <t>AB1614L</t>
  </si>
  <si>
    <t>AB1615R</t>
  </si>
  <si>
    <t>AB1598R</t>
  </si>
  <si>
    <t>AB1508L</t>
  </si>
  <si>
    <t>AB1542L</t>
  </si>
  <si>
    <t>AB1543R</t>
  </si>
  <si>
    <t>AB1553L</t>
  </si>
  <si>
    <t>AB1554R</t>
  </si>
  <si>
    <t>AB1509R</t>
  </si>
  <si>
    <t>AB16010</t>
  </si>
  <si>
    <t>AB1620L</t>
  </si>
  <si>
    <t>AB1621R</t>
  </si>
  <si>
    <t>AB15930</t>
  </si>
  <si>
    <t>AB16270</t>
  </si>
  <si>
    <t>AB16320</t>
  </si>
  <si>
    <t>AB16310</t>
  </si>
  <si>
    <t>AB16280</t>
  </si>
  <si>
    <t>AB15920</t>
  </si>
  <si>
    <t>AB1647R</t>
  </si>
  <si>
    <t>AB1557L</t>
  </si>
  <si>
    <t>AB1558R</t>
  </si>
  <si>
    <t>AB16410</t>
  </si>
  <si>
    <t>AB16090</t>
  </si>
  <si>
    <t>AB1667R</t>
  </si>
  <si>
    <t>AB1649R</t>
  </si>
  <si>
    <t>AB1648L</t>
  </si>
  <si>
    <t>AB1629L</t>
  </si>
  <si>
    <t>AB1630R</t>
  </si>
  <si>
    <t>AB14850</t>
  </si>
  <si>
    <t>AB1664L</t>
  </si>
  <si>
    <t>AB1665R</t>
  </si>
  <si>
    <t>AB1583L</t>
  </si>
  <si>
    <t>AB1584R</t>
  </si>
  <si>
    <t>AB1540L</t>
  </si>
  <si>
    <t>AB1541R</t>
  </si>
  <si>
    <t>AB1489L</t>
  </si>
  <si>
    <t>AB1490R</t>
  </si>
  <si>
    <t>AB16620</t>
  </si>
  <si>
    <t>AB1569L</t>
  </si>
  <si>
    <t>AB1570R</t>
  </si>
  <si>
    <t>棒料规格</t>
  </si>
  <si>
    <t>下料方案</t>
  </si>
  <si>
    <t>40Cr</t>
  </si>
  <si>
    <t>无</t>
  </si>
  <si>
    <t>AB14860</t>
  </si>
  <si>
    <t>AB14930</t>
  </si>
  <si>
    <t>AB15710</t>
  </si>
  <si>
    <t>AB14960</t>
  </si>
  <si>
    <t>AB14840</t>
  </si>
  <si>
    <t>AB16420</t>
    <phoneticPr fontId="6" type="noConversion"/>
  </si>
  <si>
    <t>AB14380</t>
    <phoneticPr fontId="6" type="noConversion"/>
  </si>
  <si>
    <t>JXW1020P1-A3</t>
    <phoneticPr fontId="6" type="noConversion"/>
  </si>
  <si>
    <t>AB32120</t>
    <phoneticPr fontId="6" type="noConversion"/>
  </si>
  <si>
    <t>40Cr</t>
    <phoneticPr fontId="6" type="noConversion"/>
  </si>
  <si>
    <t>AB1655L</t>
    <phoneticPr fontId="6" type="noConversion"/>
  </si>
  <si>
    <t>AB1668L</t>
    <phoneticPr fontId="6" type="noConversion"/>
  </si>
  <si>
    <t>AB1688L</t>
    <phoneticPr fontId="6" type="noConversion"/>
  </si>
  <si>
    <t>AB1689R</t>
    <phoneticPr fontId="6" type="noConversion"/>
  </si>
  <si>
    <t>AB16750</t>
    <phoneticPr fontId="6" type="noConversion"/>
  </si>
  <si>
    <t>AB1678L</t>
    <phoneticPr fontId="6" type="noConversion"/>
  </si>
  <si>
    <t>AB1679R</t>
    <phoneticPr fontId="6" type="noConversion"/>
  </si>
  <si>
    <t>XML6481T8-A5</t>
    <phoneticPr fontId="6" type="noConversion"/>
  </si>
  <si>
    <t>AB1696L</t>
    <phoneticPr fontId="6" type="noConversion"/>
  </si>
  <si>
    <t>AB1697R</t>
    <phoneticPr fontId="6" type="noConversion"/>
  </si>
  <si>
    <t>AB1699R</t>
  </si>
  <si>
    <t>AB1698L</t>
    <phoneticPr fontId="6" type="noConversion"/>
  </si>
  <si>
    <t>BJ6539S-A5</t>
    <phoneticPr fontId="6" type="noConversion"/>
  </si>
  <si>
    <t>AB1703L</t>
    <phoneticPr fontId="6" type="noConversion"/>
  </si>
  <si>
    <t>AB1704R</t>
    <phoneticPr fontId="6" type="noConversion"/>
  </si>
  <si>
    <t>AB1700L</t>
    <phoneticPr fontId="6" type="noConversion"/>
  </si>
  <si>
    <t>AB1701R</t>
    <phoneticPr fontId="6" type="noConversion"/>
  </si>
  <si>
    <t>SC1021S-A3</t>
    <phoneticPr fontId="6" type="noConversion"/>
  </si>
  <si>
    <t>AB16500</t>
    <phoneticPr fontId="6" type="noConversion"/>
  </si>
  <si>
    <t>AB1523L</t>
    <phoneticPr fontId="6" type="noConversion"/>
  </si>
  <si>
    <t>AB1580R</t>
    <phoneticPr fontId="6" type="noConversion"/>
  </si>
  <si>
    <t>AB1680L</t>
    <phoneticPr fontId="6" type="noConversion"/>
  </si>
  <si>
    <t>AB1681R</t>
    <phoneticPr fontId="6" type="noConversion"/>
  </si>
  <si>
    <t>AB17020</t>
    <phoneticPr fontId="6" type="noConversion"/>
  </si>
  <si>
    <t>无</t>
    <phoneticPr fontId="6" type="noConversion"/>
  </si>
  <si>
    <t>无</t>
    <phoneticPr fontId="6" type="noConversion"/>
  </si>
  <si>
    <t>摩擦焊生产</t>
    <phoneticPr fontId="6" type="noConversion"/>
  </si>
  <si>
    <t>AB16930</t>
    <phoneticPr fontId="6" type="noConversion"/>
  </si>
  <si>
    <t>AB1705L</t>
    <phoneticPr fontId="6" type="noConversion"/>
  </si>
  <si>
    <t>AB1706R</t>
    <phoneticPr fontId="6" type="noConversion"/>
  </si>
  <si>
    <t>AB1634R</t>
    <phoneticPr fontId="6" type="noConversion"/>
  </si>
  <si>
    <t>AB1644L</t>
    <phoneticPr fontId="6" type="noConversion"/>
  </si>
  <si>
    <t>AB1645R</t>
    <phoneticPr fontId="6" type="noConversion"/>
  </si>
  <si>
    <t>XMQ6540-A5</t>
    <phoneticPr fontId="6" type="noConversion"/>
  </si>
  <si>
    <t>无</t>
    <phoneticPr fontId="6" type="noConversion"/>
  </si>
  <si>
    <t>AB1671L</t>
    <phoneticPr fontId="6" type="noConversion"/>
  </si>
  <si>
    <t>AB1672R</t>
    <phoneticPr fontId="6" type="noConversion"/>
  </si>
  <si>
    <t>AB17130</t>
    <phoneticPr fontId="6" type="noConversion"/>
  </si>
  <si>
    <t>AB1709L</t>
    <phoneticPr fontId="6" type="noConversion"/>
  </si>
  <si>
    <t>AB1710R</t>
    <phoneticPr fontId="6" type="noConversion"/>
  </si>
  <si>
    <t>AB15550</t>
    <phoneticPr fontId="6" type="noConversion"/>
  </si>
  <si>
    <t>AB1721R</t>
    <phoneticPr fontId="6" type="noConversion"/>
  </si>
  <si>
    <t>AB1720L</t>
    <phoneticPr fontId="6" type="noConversion"/>
  </si>
  <si>
    <t>AB14490</t>
    <phoneticPr fontId="6" type="noConversion"/>
  </si>
  <si>
    <t>AB1723L</t>
    <phoneticPr fontId="6" type="noConversion"/>
  </si>
  <si>
    <t>AB17190</t>
    <phoneticPr fontId="6" type="noConversion"/>
  </si>
  <si>
    <t>AB1724R</t>
    <phoneticPr fontId="6" type="noConversion"/>
  </si>
  <si>
    <t>AB17260</t>
    <phoneticPr fontId="6" type="noConversion"/>
  </si>
  <si>
    <t>无</t>
    <phoneticPr fontId="6" type="noConversion"/>
  </si>
  <si>
    <t>AB1731L</t>
    <phoneticPr fontId="6" type="noConversion"/>
  </si>
  <si>
    <t>AB1732R</t>
    <phoneticPr fontId="6" type="noConversion"/>
  </si>
  <si>
    <t>AB1695R</t>
    <phoneticPr fontId="6" type="noConversion"/>
  </si>
  <si>
    <t>AB1694L</t>
    <phoneticPr fontId="6" type="noConversion"/>
  </si>
  <si>
    <t>杆部不加工</t>
    <phoneticPr fontId="6" type="noConversion"/>
  </si>
  <si>
    <t>杆部不加工</t>
    <phoneticPr fontId="6" type="noConversion"/>
  </si>
  <si>
    <t>自动线生产</t>
    <phoneticPr fontId="6" type="noConversion"/>
  </si>
  <si>
    <t>ZN1028-A5</t>
    <phoneticPr fontId="6" type="noConversion"/>
  </si>
  <si>
    <t>ZN1028-A6</t>
    <phoneticPr fontId="6" type="noConversion"/>
  </si>
  <si>
    <t>JP40T7-A6</t>
    <phoneticPr fontId="6" type="noConversion"/>
  </si>
  <si>
    <t>自动线生产</t>
    <phoneticPr fontId="6" type="noConversion"/>
  </si>
  <si>
    <t>AB1727L</t>
    <phoneticPr fontId="6" type="noConversion"/>
  </si>
  <si>
    <t>AB1728R</t>
    <phoneticPr fontId="6" type="noConversion"/>
  </si>
  <si>
    <t>AB17220</t>
    <phoneticPr fontId="6" type="noConversion"/>
  </si>
  <si>
    <t>AB17420</t>
    <phoneticPr fontId="6" type="noConversion"/>
  </si>
  <si>
    <t>ZN1029-A5</t>
    <phoneticPr fontId="6" type="noConversion"/>
  </si>
  <si>
    <t>ZN1029-A6</t>
    <phoneticPr fontId="6" type="noConversion"/>
  </si>
  <si>
    <t>AB1735L</t>
    <phoneticPr fontId="6" type="noConversion"/>
  </si>
  <si>
    <t>AB1736R</t>
    <phoneticPr fontId="6" type="noConversion"/>
  </si>
  <si>
    <t>AB17080</t>
    <phoneticPr fontId="6" type="noConversion"/>
  </si>
  <si>
    <t>AB1753L</t>
    <phoneticPr fontId="6" type="noConversion"/>
  </si>
  <si>
    <t>AB1754R</t>
    <phoneticPr fontId="6" type="noConversion"/>
  </si>
  <si>
    <t>AB1758R</t>
    <phoneticPr fontId="6" type="noConversion"/>
  </si>
  <si>
    <t>AB3253R</t>
    <phoneticPr fontId="6" type="noConversion"/>
  </si>
  <si>
    <t>AB1738L</t>
    <phoneticPr fontId="6" type="noConversion"/>
  </si>
  <si>
    <t>AB1739R</t>
    <phoneticPr fontId="6" type="noConversion"/>
  </si>
  <si>
    <t>AB17420</t>
    <phoneticPr fontId="6" type="noConversion"/>
  </si>
  <si>
    <t>AB1755L</t>
    <phoneticPr fontId="6" type="noConversion"/>
  </si>
  <si>
    <t>AB1756R</t>
    <phoneticPr fontId="6" type="noConversion"/>
  </si>
  <si>
    <t>AB1586R</t>
    <phoneticPr fontId="6" type="noConversion"/>
  </si>
  <si>
    <t>ZN1031-A6</t>
    <phoneticPr fontId="6" type="noConversion"/>
  </si>
  <si>
    <t>JMC1028S-A5-1</t>
    <phoneticPr fontId="6" type="noConversion"/>
  </si>
  <si>
    <t>AB1743L</t>
    <phoneticPr fontId="6" type="noConversion"/>
  </si>
  <si>
    <t>AB1744R</t>
    <phoneticPr fontId="6" type="noConversion"/>
  </si>
  <si>
    <t>AB16750</t>
    <phoneticPr fontId="6" type="noConversion"/>
  </si>
  <si>
    <t>AB14840</t>
    <phoneticPr fontId="6" type="noConversion"/>
  </si>
  <si>
    <t>AB13060</t>
    <phoneticPr fontId="6" type="noConversion"/>
  </si>
  <si>
    <t>AB1741L</t>
    <phoneticPr fontId="6" type="noConversion"/>
  </si>
  <si>
    <t>无</t>
    <phoneticPr fontId="6" type="noConversion"/>
  </si>
  <si>
    <t>AB1668L</t>
    <phoneticPr fontId="6" type="noConversion"/>
  </si>
  <si>
    <t>V348AAA-A2-1</t>
    <phoneticPr fontId="6" type="noConversion"/>
  </si>
  <si>
    <t>JMC1053M8F-A6</t>
    <phoneticPr fontId="6" type="noConversion"/>
  </si>
  <si>
    <t>JXW1021P0S-A3</t>
    <phoneticPr fontId="6" type="noConversion"/>
  </si>
  <si>
    <t>材料   牌号</t>
    <phoneticPr fontId="6" type="noConversion"/>
  </si>
  <si>
    <t>下料   根数</t>
    <phoneticPr fontId="6" type="noConversion"/>
  </si>
  <si>
    <t>尾料长度(mm)</t>
    <phoneticPr fontId="6" type="noConversion"/>
  </si>
  <si>
    <t>Φ38</t>
  </si>
  <si>
    <t>Φ40</t>
  </si>
  <si>
    <t>Φ42</t>
  </si>
  <si>
    <t>Φ45</t>
  </si>
  <si>
    <t>AB1634R</t>
    <phoneticPr fontId="6" type="noConversion"/>
  </si>
  <si>
    <t>AB1765L</t>
    <phoneticPr fontId="6" type="noConversion"/>
  </si>
  <si>
    <t>AB1766R</t>
    <phoneticPr fontId="6" type="noConversion"/>
  </si>
  <si>
    <t>手工摆碾线生产</t>
    <phoneticPr fontId="6" type="noConversion"/>
  </si>
  <si>
    <t>材料利用率</t>
    <phoneticPr fontId="6" type="noConversion"/>
  </si>
  <si>
    <t>AB1762R(ZN1060-A6)</t>
    <phoneticPr fontId="6" type="noConversion"/>
  </si>
  <si>
    <t>AB1759L</t>
    <phoneticPr fontId="6" type="noConversion"/>
  </si>
  <si>
    <t>AB1760R</t>
    <phoneticPr fontId="6" type="noConversion"/>
  </si>
  <si>
    <t>AB16540</t>
  </si>
  <si>
    <t>AB1660R</t>
  </si>
  <si>
    <t>AB1658R</t>
  </si>
  <si>
    <t>AB1646L</t>
  </si>
  <si>
    <t>AB16400</t>
  </si>
  <si>
    <r>
      <t>A</t>
    </r>
    <r>
      <rPr>
        <sz val="11"/>
        <color theme="1"/>
        <rFont val="微软雅黑"/>
        <family val="2"/>
        <charset val="134"/>
      </rPr>
      <t>B1547R</t>
    </r>
    <phoneticPr fontId="6" type="noConversion"/>
  </si>
  <si>
    <r>
      <t>A</t>
    </r>
    <r>
      <rPr>
        <sz val="11"/>
        <color theme="1"/>
        <rFont val="微软雅黑"/>
        <family val="2"/>
        <charset val="134"/>
      </rPr>
      <t>B1545R</t>
    </r>
    <phoneticPr fontId="6" type="noConversion"/>
  </si>
  <si>
    <t>无</t>
    <phoneticPr fontId="6" type="noConversion"/>
  </si>
  <si>
    <t>JXW2020Q-AB1-1</t>
    <phoneticPr fontId="6" type="noConversion"/>
  </si>
  <si>
    <t>JMC1071P8N-A3</t>
    <phoneticPr fontId="6" type="noConversion"/>
  </si>
  <si>
    <t>AB14540</t>
    <phoneticPr fontId="6" type="noConversion"/>
  </si>
  <si>
    <t>AB1460L</t>
    <phoneticPr fontId="6" type="noConversion"/>
  </si>
  <si>
    <t>AB1461L</t>
    <phoneticPr fontId="6" type="noConversion"/>
  </si>
  <si>
    <t>AB1660R</t>
    <phoneticPr fontId="6" type="noConversion"/>
  </si>
  <si>
    <t>AB1658R</t>
    <phoneticPr fontId="6" type="noConversion"/>
  </si>
  <si>
    <t>AB1757L</t>
    <phoneticPr fontId="6" type="noConversion"/>
  </si>
  <si>
    <t>AB1644L</t>
    <phoneticPr fontId="6" type="noConversion"/>
  </si>
  <si>
    <t>JMC1063-A5</t>
    <phoneticPr fontId="6" type="noConversion"/>
  </si>
  <si>
    <t>CA1-A6</t>
    <phoneticPr fontId="6" type="noConversion"/>
  </si>
  <si>
    <t>DF1051-A6</t>
    <phoneticPr fontId="6" type="noConversion"/>
  </si>
  <si>
    <t>AB15880</t>
    <phoneticPr fontId="6" type="noConversion"/>
  </si>
  <si>
    <t>JMC1041S-A6</t>
    <phoneticPr fontId="6" type="noConversion"/>
  </si>
  <si>
    <t>JMC1065-A5-1</t>
    <phoneticPr fontId="6" type="noConversion"/>
  </si>
  <si>
    <t>DF1051C-A6</t>
    <phoneticPr fontId="6" type="noConversion"/>
  </si>
  <si>
    <t>AB15890</t>
    <phoneticPr fontId="6" type="noConversion"/>
  </si>
  <si>
    <t>AB15870</t>
    <phoneticPr fontId="6" type="noConversion"/>
  </si>
  <si>
    <t>SA1050-A5</t>
    <phoneticPr fontId="6" type="noConversion"/>
  </si>
  <si>
    <t>QSH41-A6</t>
    <phoneticPr fontId="6" type="noConversion"/>
  </si>
  <si>
    <t>AB13220</t>
    <phoneticPr fontId="6" type="noConversion"/>
  </si>
  <si>
    <t>AB16540</t>
    <phoneticPr fontId="6" type="noConversion"/>
  </si>
  <si>
    <t>8A6-1</t>
    <phoneticPr fontId="6" type="noConversion"/>
  </si>
  <si>
    <t>8A6-A</t>
    <phoneticPr fontId="6" type="noConversion"/>
  </si>
  <si>
    <t>8A6-3</t>
    <phoneticPr fontId="6" type="noConversion"/>
  </si>
  <si>
    <t>AB12420</t>
    <phoneticPr fontId="6" type="noConversion"/>
  </si>
  <si>
    <t>AB16370</t>
    <phoneticPr fontId="6" type="noConversion"/>
  </si>
  <si>
    <t>AB1770L</t>
    <phoneticPr fontId="6" type="noConversion"/>
  </si>
  <si>
    <t>AB1769R</t>
    <phoneticPr fontId="6" type="noConversion"/>
  </si>
  <si>
    <t>260113修改</t>
    <phoneticPr fontId="6" type="noConversion"/>
  </si>
  <si>
    <t>无</t>
    <phoneticPr fontId="6" type="noConversion"/>
  </si>
  <si>
    <r>
      <t>2</t>
    </r>
    <r>
      <rPr>
        <sz val="11"/>
        <color theme="1"/>
        <rFont val="微软雅黑"/>
        <family val="2"/>
        <charset val="134"/>
      </rPr>
      <t>0260119修改</t>
    </r>
    <phoneticPr fontId="6" type="noConversion"/>
  </si>
  <si>
    <t>AB17680</t>
    <phoneticPr fontId="6" type="noConversion"/>
  </si>
  <si>
    <t>AB12710(摆碾)</t>
    <phoneticPr fontId="6" type="noConversion"/>
  </si>
  <si>
    <t>AB1564L#V1(AB1602L）</t>
    <phoneticPr fontId="6" type="noConversion"/>
  </si>
  <si>
    <t>AB1565R#V1(AB1603R)</t>
    <phoneticPr fontId="6" type="noConversion"/>
  </si>
  <si>
    <t>摩擦焊生产</t>
    <phoneticPr fontId="6" type="noConversion"/>
  </si>
  <si>
    <t>AB1761L(ZN1060-A5)</t>
    <phoneticPr fontId="6" type="noConversion"/>
  </si>
  <si>
    <t>AB12780</t>
    <phoneticPr fontId="6" type="noConversion"/>
  </si>
  <si>
    <t>AB1481R</t>
    <phoneticPr fontId="6" type="noConversion"/>
  </si>
  <si>
    <t>AB1563R</t>
    <phoneticPr fontId="6" type="noConversion"/>
  </si>
  <si>
    <t>AB1753L</t>
    <phoneticPr fontId="6" type="noConversion"/>
  </si>
  <si>
    <t>无</t>
    <phoneticPr fontId="6" type="noConversion"/>
  </si>
  <si>
    <t>AB1709L</t>
    <phoneticPr fontId="6" type="noConversion"/>
  </si>
  <si>
    <t>AB1645R</t>
    <phoneticPr fontId="6" type="noConversion"/>
  </si>
  <si>
    <t>AB1646L</t>
    <phoneticPr fontId="6" type="noConversion"/>
  </si>
  <si>
    <t>AB1647R</t>
    <phoneticPr fontId="6" type="noConversion"/>
  </si>
  <si>
    <t>AB1538L</t>
    <phoneticPr fontId="6" type="noConversion"/>
  </si>
  <si>
    <t>AB1562L</t>
    <phoneticPr fontId="6" type="noConversion"/>
  </si>
  <si>
    <t>AB1480L</t>
    <phoneticPr fontId="6" type="noConversion"/>
  </si>
  <si>
    <t>AB15270</t>
    <phoneticPr fontId="6" type="noConversion"/>
  </si>
  <si>
    <t>AB15550</t>
    <phoneticPr fontId="6" type="noConversion"/>
  </si>
  <si>
    <t>AB16260</t>
    <phoneticPr fontId="6" type="noConversion"/>
  </si>
  <si>
    <t>AB1539R</t>
    <phoneticPr fontId="6" type="noConversion"/>
  </si>
  <si>
    <t>20260126修改</t>
    <phoneticPr fontId="6" type="noConversion"/>
  </si>
  <si>
    <t>AB14590(摆碾)</t>
    <phoneticPr fontId="6" type="noConversion"/>
  </si>
  <si>
    <t>260127修改</t>
    <phoneticPr fontId="6" type="noConversion"/>
  </si>
  <si>
    <t>AB17670</t>
    <phoneticPr fontId="6" type="noConversion"/>
  </si>
  <si>
    <t>AB14590</t>
    <phoneticPr fontId="6" type="noConversion"/>
  </si>
  <si>
    <t>260210修改</t>
    <phoneticPr fontId="6" type="noConversion"/>
  </si>
  <si>
    <t>无</t>
    <phoneticPr fontId="6" type="noConversion"/>
  </si>
  <si>
    <t>260224修改</t>
    <phoneticPr fontId="6" type="noConversion"/>
  </si>
  <si>
    <t>3A12-1</t>
    <phoneticPr fontId="6" type="noConversion"/>
  </si>
  <si>
    <t>20260226修改</t>
    <phoneticPr fontId="6" type="noConversion"/>
  </si>
  <si>
    <t>AB15890</t>
    <phoneticPr fontId="6" type="noConversion"/>
  </si>
  <si>
    <t>AB1775L</t>
    <phoneticPr fontId="6" type="noConversion"/>
  </si>
  <si>
    <t>AB1776R</t>
    <phoneticPr fontId="6" type="noConversion"/>
  </si>
  <si>
    <t>AB1783L</t>
    <phoneticPr fontId="6" type="noConversion"/>
  </si>
  <si>
    <t>AB1784R</t>
    <phoneticPr fontId="6" type="noConversion"/>
  </si>
  <si>
    <t>AB1787L</t>
    <phoneticPr fontId="6" type="noConversion"/>
  </si>
  <si>
    <t>AB1788R</t>
    <phoneticPr fontId="6" type="noConversion"/>
  </si>
  <si>
    <t>AB1796L</t>
    <phoneticPr fontId="6" type="noConversion"/>
  </si>
  <si>
    <t>AB1797R</t>
    <phoneticPr fontId="6" type="noConversion"/>
  </si>
  <si>
    <t>ZN1067-A5</t>
    <phoneticPr fontId="6" type="noConversion"/>
  </si>
  <si>
    <t>ZN1067-A6</t>
    <phoneticPr fontId="6" type="noConversion"/>
  </si>
  <si>
    <t>2026-3-27修改</t>
    <phoneticPr fontId="6" type="noConversion"/>
  </si>
  <si>
    <t>AB14010</t>
    <phoneticPr fontId="6" type="noConversion"/>
  </si>
  <si>
    <t>AB1772L</t>
    <phoneticPr fontId="6" type="noConversion"/>
  </si>
  <si>
    <t>AB1773R</t>
    <phoneticPr fontId="6" type="noConversion"/>
  </si>
  <si>
    <t>AB1785L</t>
    <phoneticPr fontId="6" type="noConversion"/>
  </si>
  <si>
    <t>AB1786R</t>
    <phoneticPr fontId="6" type="noConversion"/>
  </si>
  <si>
    <r>
      <t>2</t>
    </r>
    <r>
      <rPr>
        <sz val="11"/>
        <color theme="1"/>
        <rFont val="微软雅黑"/>
        <family val="2"/>
        <charset val="134"/>
      </rPr>
      <t>0260409修改</t>
    </r>
    <phoneticPr fontId="6" type="noConversion"/>
  </si>
  <si>
    <t>湘钢材料</t>
    <phoneticPr fontId="6" type="noConversion"/>
  </si>
  <si>
    <t>AB1800L</t>
    <phoneticPr fontId="6" type="noConversion"/>
  </si>
  <si>
    <t>AB1686L</t>
    <phoneticPr fontId="6" type="noConversion"/>
  </si>
  <si>
    <t>借用AB1523L毛坯</t>
    <phoneticPr fontId="6" type="noConversion"/>
  </si>
  <si>
    <t>AB15590</t>
    <phoneticPr fontId="6" type="noConversion"/>
  </si>
  <si>
    <t>AB1815L</t>
    <phoneticPr fontId="6" type="noConversion"/>
  </si>
  <si>
    <t>AB1816R</t>
    <phoneticPr fontId="6" type="noConversion"/>
  </si>
  <si>
    <t>20260516修改</t>
    <phoneticPr fontId="6" type="noConversion"/>
  </si>
  <si>
    <r>
      <t>2</t>
    </r>
    <r>
      <rPr>
        <sz val="11"/>
        <color theme="1"/>
        <rFont val="微软雅黑"/>
        <family val="2"/>
        <charset val="134"/>
      </rPr>
      <t>0260516修改</t>
    </r>
    <phoneticPr fontId="6" type="noConversion"/>
  </si>
  <si>
    <t>AB1740R</t>
    <phoneticPr fontId="6" type="noConversion"/>
  </si>
  <si>
    <t>AB14130</t>
    <phoneticPr fontId="6" type="noConversion"/>
  </si>
  <si>
    <t>AB1813L</t>
    <phoneticPr fontId="6" type="noConversion"/>
  </si>
  <si>
    <t>AB1814R</t>
    <phoneticPr fontId="6" type="noConversion"/>
  </si>
  <si>
    <t>AB1819L</t>
    <phoneticPr fontId="6" type="noConversion"/>
  </si>
  <si>
    <t>AB1820R</t>
    <phoneticPr fontId="6" type="noConversion"/>
  </si>
  <si>
    <t>AB1810R</t>
    <phoneticPr fontId="6" type="noConversion"/>
  </si>
  <si>
    <t>AB1811L</t>
    <phoneticPr fontId="6" type="noConversion"/>
  </si>
  <si>
    <t>AB1763L(AB1777L)</t>
    <phoneticPr fontId="6" type="noConversion"/>
  </si>
  <si>
    <t>AB1764R(AB1778R)</t>
    <phoneticPr fontId="6" type="noConversion"/>
  </si>
  <si>
    <t>260605修改</t>
    <phoneticPr fontId="6" type="noConversion"/>
  </si>
  <si>
    <t>无</t>
    <phoneticPr fontId="6" type="noConversion"/>
  </si>
  <si>
    <t>260611修改</t>
    <phoneticPr fontId="6" type="noConversion"/>
  </si>
  <si>
    <t>AB1808L</t>
    <phoneticPr fontId="6" type="noConversion"/>
  </si>
  <si>
    <t>AB1809R</t>
    <phoneticPr fontId="6" type="noConversion"/>
  </si>
  <si>
    <t>AB1806L</t>
    <phoneticPr fontId="6" type="noConversion"/>
  </si>
  <si>
    <t>AB1807R</t>
    <phoneticPr fontId="6" type="noConversion"/>
  </si>
  <si>
    <t>FZ6700A-A3</t>
    <phoneticPr fontId="6" type="noConversion"/>
  </si>
  <si>
    <t>无</t>
    <phoneticPr fontId="6" type="noConversion"/>
  </si>
  <si>
    <r>
      <t>2</t>
    </r>
    <r>
      <rPr>
        <sz val="11"/>
        <color theme="1"/>
        <rFont val="微软雅黑"/>
        <family val="2"/>
        <charset val="134"/>
      </rPr>
      <t>0260612修改</t>
    </r>
    <phoneticPr fontId="6" type="noConversion"/>
  </si>
  <si>
    <t>260612修改</t>
    <phoneticPr fontId="6" type="noConversion"/>
  </si>
  <si>
    <t>AB18230</t>
    <phoneticPr fontId="6" type="noConversion"/>
  </si>
  <si>
    <t>摩擦焊生产</t>
    <phoneticPr fontId="6" type="noConversion"/>
  </si>
  <si>
    <t>260616修改</t>
    <phoneticPr fontId="6" type="noConversion"/>
  </si>
  <si>
    <t>临时替代</t>
    <phoneticPr fontId="6" type="noConversion"/>
  </si>
  <si>
    <t>AB15890(摆辗)</t>
    <phoneticPr fontId="6" type="noConversion"/>
  </si>
  <si>
    <t>260616修改</t>
    <phoneticPr fontId="6" type="noConversion"/>
  </si>
  <si>
    <t>260618修改</t>
    <phoneticPr fontId="6" type="noConversion"/>
  </si>
  <si>
    <t>AB1819L</t>
    <phoneticPr fontId="6" type="noConversion"/>
  </si>
  <si>
    <t>AB1820R</t>
    <phoneticPr fontId="6" type="noConversion"/>
  </si>
  <si>
    <t>无</t>
    <phoneticPr fontId="6" type="noConversion"/>
  </si>
  <si>
    <t>AB1634R</t>
    <phoneticPr fontId="6" type="noConversion"/>
  </si>
  <si>
    <t>AB1633L</t>
    <phoneticPr fontId="6" type="noConversion"/>
  </si>
  <si>
    <t>AB1757L</t>
    <phoneticPr fontId="6" type="noConversion"/>
  </si>
  <si>
    <t>AB1758R</t>
    <phoneticPr fontId="6" type="noConversion"/>
  </si>
  <si>
    <t>AB1646L</t>
    <phoneticPr fontId="6" type="noConversion"/>
  </si>
  <si>
    <t>AB1557L</t>
    <phoneticPr fontId="6" type="noConversion"/>
  </si>
  <si>
    <t>AB1558R</t>
    <phoneticPr fontId="6" type="noConversion"/>
  </si>
  <si>
    <t>AB1645R(摆辗)</t>
    <phoneticPr fontId="6" type="noConversion"/>
  </si>
  <si>
    <t>260618修改</t>
    <phoneticPr fontId="6" type="noConversion"/>
  </si>
  <si>
    <t>AB1763L(AB1777L)</t>
    <phoneticPr fontId="6" type="noConversion"/>
  </si>
  <si>
    <t>自动线生产</t>
    <phoneticPr fontId="6" type="noConversion"/>
  </si>
  <si>
    <t>AB1764R(AB1778R)</t>
    <phoneticPr fontId="6" type="noConversion"/>
  </si>
  <si>
    <t>手工摆碾线生产</t>
    <phoneticPr fontId="6" type="noConversion"/>
  </si>
  <si>
    <t>260623修改</t>
    <phoneticPr fontId="6" type="noConversion"/>
  </si>
  <si>
    <t>AB3271R</t>
    <phoneticPr fontId="6" type="noConversion"/>
  </si>
  <si>
    <t>AB16620</t>
    <phoneticPr fontId="6" type="noConversion"/>
  </si>
  <si>
    <t>手工摆碾线生产</t>
    <phoneticPr fontId="6" type="noConversion"/>
  </si>
  <si>
    <t>手工摆碾线生产</t>
    <phoneticPr fontId="6" type="noConversion"/>
  </si>
  <si>
    <t>JMC1053M8F-A6(摆辗)</t>
    <phoneticPr fontId="6" type="noConversion"/>
  </si>
  <si>
    <t>AB15270(摆辗)</t>
    <phoneticPr fontId="6" type="noConversion"/>
  </si>
  <si>
    <t>AB15550(摆辗)</t>
    <phoneticPr fontId="6" type="noConversion"/>
  </si>
  <si>
    <t>AB15870(摆辗)</t>
    <phoneticPr fontId="6" type="noConversion"/>
  </si>
  <si>
    <t>ZQ1029MOS-A5(AB1832L）</t>
    <phoneticPr fontId="6" type="noConversion"/>
  </si>
  <si>
    <t>摩擦焊生产</t>
    <phoneticPr fontId="6" type="noConversion"/>
  </si>
  <si>
    <t>ZQ1029MOS-A6(AB1833R）</t>
    <phoneticPr fontId="6" type="noConversion"/>
  </si>
  <si>
    <t>AB1644L(摆辗)</t>
    <phoneticPr fontId="6" type="noConversion"/>
  </si>
  <si>
    <t>AB1778R</t>
    <phoneticPr fontId="6" type="noConversion"/>
  </si>
  <si>
    <t>AB1498R(AB1828R)</t>
    <phoneticPr fontId="6" type="noConversion"/>
  </si>
  <si>
    <t>AB1497L(AB1827L)</t>
    <phoneticPr fontId="6" type="noConversion"/>
  </si>
  <si>
    <t>AB1746L(AB1798L)</t>
    <phoneticPr fontId="6" type="noConversion"/>
  </si>
  <si>
    <t>AB1747R(AB1799R)</t>
    <phoneticPr fontId="6" type="noConversion"/>
  </si>
  <si>
    <t>AB1498R(AB1828R)</t>
    <phoneticPr fontId="6" type="noConversion"/>
  </si>
  <si>
    <t>AB1777L</t>
    <phoneticPr fontId="6" type="noConversion"/>
  </si>
  <si>
    <t>AB1822R</t>
    <phoneticPr fontId="6" type="noConversion"/>
  </si>
  <si>
    <t>AB1821L</t>
    <phoneticPr fontId="6" type="noConversion"/>
  </si>
  <si>
    <t>AB18340</t>
    <phoneticPr fontId="6" type="noConversion"/>
  </si>
  <si>
    <t>260806修改</t>
    <phoneticPr fontId="6" type="noConversion"/>
  </si>
  <si>
    <t>AB1838L</t>
    <phoneticPr fontId="6" type="noConversion"/>
  </si>
  <si>
    <t>AB1839R</t>
    <phoneticPr fontId="6" type="noConversion"/>
  </si>
  <si>
    <t>AB1497L(自动线Φ38)</t>
    <phoneticPr fontId="6" type="noConversion"/>
  </si>
  <si>
    <t>AB1498R(自动线Φ38)</t>
    <phoneticPr fontId="6" type="noConversion"/>
  </si>
  <si>
    <t>ZN1047-A5</t>
    <phoneticPr fontId="6" type="noConversion"/>
  </si>
  <si>
    <t>ZN1047-A6</t>
    <phoneticPr fontId="6" type="noConversion"/>
  </si>
  <si>
    <t>JMC1071P8N-A3-1</t>
    <phoneticPr fontId="6" type="noConversion"/>
  </si>
  <si>
    <t>AB13800</t>
    <phoneticPr fontId="6" type="noConversion"/>
  </si>
  <si>
    <t>AB13790</t>
    <phoneticPr fontId="6" type="noConversion"/>
  </si>
  <si>
    <t>AB14040</t>
    <phoneticPr fontId="6" type="noConversion"/>
  </si>
  <si>
    <t>AB14550</t>
    <phoneticPr fontId="6" type="noConversion"/>
  </si>
  <si>
    <t>AB14560</t>
    <phoneticPr fontId="6" type="noConversion"/>
  </si>
  <si>
    <t>AB1845L</t>
    <phoneticPr fontId="6" type="noConversion"/>
  </si>
  <si>
    <t>AB1846R</t>
    <phoneticPr fontId="6" type="noConversion"/>
  </si>
  <si>
    <t>AB18360</t>
    <phoneticPr fontId="6" type="noConversion"/>
  </si>
  <si>
    <t>AB1268L</t>
    <phoneticPr fontId="6" type="noConversion"/>
  </si>
  <si>
    <t>直径</t>
  </si>
  <si>
    <t>尺寸</t>
    <phoneticPr fontId="6" type="noConversion"/>
  </si>
  <si>
    <t>Φ34</t>
  </si>
  <si>
    <t>Φ36</t>
  </si>
  <si>
    <t>Φ48</t>
  </si>
  <si>
    <t>套料数量</t>
    <phoneticPr fontId="6" type="noConversion"/>
  </si>
  <si>
    <t>套料产品</t>
    <phoneticPr fontId="6" type="noConversion"/>
  </si>
  <si>
    <t>V348ABA-A2-1</t>
    <phoneticPr fontId="6" type="noConversion"/>
  </si>
  <si>
    <t>AB12880</t>
    <phoneticPr fontId="6" type="noConversion"/>
  </si>
  <si>
    <t>BJ1046V8-A6</t>
    <phoneticPr fontId="6" type="noConversion"/>
  </si>
  <si>
    <t>公差</t>
    <phoneticPr fontId="6" type="noConversion"/>
  </si>
  <si>
    <t>(+2/0)</t>
  </si>
  <si>
    <t>(+2/0)</t>
    <phoneticPr fontId="6" type="noConversion"/>
  </si>
  <si>
    <t>锯片厚度（mm）</t>
    <phoneticPr fontId="6" type="noConversion"/>
  </si>
  <si>
    <t>料头料尾切割厚度（mm）</t>
    <phoneticPr fontId="6" type="noConversion"/>
  </si>
  <si>
    <t>无</t>
    <phoneticPr fontId="6" type="noConversion"/>
  </si>
  <si>
    <t>AB14390</t>
    <phoneticPr fontId="6" type="noConversion"/>
  </si>
  <si>
    <t>ZN1027-A6</t>
    <phoneticPr fontId="6" type="noConversion"/>
  </si>
  <si>
    <t>8A6-1</t>
    <phoneticPr fontId="6" type="noConversion"/>
  </si>
  <si>
    <t>BJ1046V8-A6</t>
    <phoneticPr fontId="6" type="noConversion"/>
  </si>
  <si>
    <t>AB1545R</t>
    <phoneticPr fontId="6" type="noConversion"/>
  </si>
  <si>
    <t>AB12880</t>
    <phoneticPr fontId="6" type="noConversion"/>
  </si>
  <si>
    <t>套料长度(mm)</t>
    <phoneticPr fontId="6" type="noConversion"/>
  </si>
  <si>
    <t>±1</t>
    <phoneticPr fontId="6" type="noConversion"/>
  </si>
  <si>
    <t>公差</t>
    <phoneticPr fontId="6" type="noConversion"/>
  </si>
  <si>
    <t>AB14250</t>
    <phoneticPr fontId="6" type="noConversion"/>
  </si>
  <si>
    <t>ZN1027-A5</t>
    <phoneticPr fontId="6" type="noConversion"/>
  </si>
  <si>
    <t>AB1498R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</si>
</sst>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7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1" quotePrefix="1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1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9" fillId="2" borderId="1" xfId="0" applyFont="1" applyFill="1" applyBorder="1" applyAlignment="1">
      <alignment horizontal="left" vertical="center"/>
    </xf>
    <xf numFmtId="10" fontId="1" fillId="2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2" borderId="3" xfId="0" applyFont="1" applyFill="1" applyBorder="1">
      <alignment vertical="center"/>
    </xf>
    <xf numFmtId="0" fontId="12" fillId="2" borderId="1" xfId="0" applyFont="1" applyFill="1" applyBorder="1">
      <alignment vertical="center"/>
    </xf>
    <xf numFmtId="0" fontId="10" fillId="2" borderId="3" xfId="0" applyFont="1" applyFill="1" applyBorder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7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1" fillId="0" borderId="0" xfId="0" applyFo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/>
    </xf>
    <xf numFmtId="0" fontId="11" fillId="4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4" fillId="5" borderId="1" xfId="0" applyFont="1" applyFill="1" applyBorder="1" applyAlignment="1">
      <alignment horizontal="left" vertical="center"/>
    </xf>
    <xf numFmtId="0" fontId="11" fillId="2" borderId="3" xfId="0" applyFont="1" applyFill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00FF00"/>
      <color rgb="FF4DD60C"/>
      <color rgb="FF007D00"/>
      <color rgb="FFE41908"/>
      <color rgb="FFF852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36"/>
  <sheetViews>
    <sheetView tabSelected="1" zoomScale="103" zoomScaleNormal="110" workbookViewId="0">
      <pane ySplit="2" topLeftCell="A3" activePane="bottomLeft" state="frozen"/>
      <selection pane="bottomLeft" activeCell="K10" sqref="K10"/>
    </sheetView>
  </sheetViews>
  <sheetFormatPr defaultColWidth="9" defaultRowHeight="14.4" x14ac:dyDescent="0.25"/>
  <cols>
    <col min="1" max="1" width="6.77734375" customWidth="1"/>
    <col min="2" max="2" width="25" customWidth="1"/>
    <col min="3" max="4" width="11.44140625" style="1" customWidth="1"/>
    <col min="5" max="5" width="6.88671875" customWidth="1"/>
    <col min="6" max="6" width="13.88671875" customWidth="1"/>
    <col min="7" max="7" width="7.6640625" bestFit="1" customWidth="1"/>
    <col min="8" max="9" width="9.44140625" customWidth="1"/>
    <col min="10" max="10" width="6.6640625" customWidth="1"/>
    <col min="11" max="11" width="21.77734375" customWidth="1"/>
    <col min="12" max="12" width="9.88671875" customWidth="1"/>
    <col min="13" max="13" width="13.77734375" customWidth="1"/>
    <col min="14" max="14" width="10" bestFit="1" customWidth="1"/>
    <col min="15" max="15" width="12.6640625" customWidth="1"/>
    <col min="16" max="16" width="10" customWidth="1"/>
    <col min="18" max="18" width="10.33203125" customWidth="1"/>
    <col min="19" max="19" width="30.6640625" customWidth="1"/>
  </cols>
  <sheetData>
    <row r="1" spans="1:18" ht="20.100000000000001" customHeight="1" x14ac:dyDescent="0.25">
      <c r="A1" s="67" t="s">
        <v>0</v>
      </c>
      <c r="B1" s="67" t="s">
        <v>1</v>
      </c>
      <c r="C1" s="63" t="s">
        <v>248</v>
      </c>
      <c r="D1" s="64"/>
      <c r="E1" s="65" t="s">
        <v>354</v>
      </c>
      <c r="F1" s="65" t="s">
        <v>2</v>
      </c>
      <c r="G1" s="65" t="s">
        <v>562</v>
      </c>
      <c r="H1" s="65" t="s">
        <v>565</v>
      </c>
      <c r="I1" s="65" t="s">
        <v>566</v>
      </c>
      <c r="J1" s="69" t="s">
        <v>249</v>
      </c>
      <c r="K1" s="70"/>
      <c r="L1" s="70"/>
      <c r="M1" s="70"/>
      <c r="N1" s="71"/>
      <c r="O1" s="68" t="s">
        <v>4</v>
      </c>
      <c r="P1" s="67" t="s">
        <v>3</v>
      </c>
      <c r="Q1" s="67" t="s">
        <v>356</v>
      </c>
      <c r="R1" s="67" t="s">
        <v>365</v>
      </c>
    </row>
    <row r="2" spans="1:18" ht="35.1" customHeight="1" x14ac:dyDescent="0.25">
      <c r="A2" s="67"/>
      <c r="B2" s="67"/>
      <c r="C2" s="7" t="s">
        <v>552</v>
      </c>
      <c r="D2" s="62" t="s">
        <v>553</v>
      </c>
      <c r="E2" s="66"/>
      <c r="F2" s="66"/>
      <c r="G2" s="66"/>
      <c r="H2" s="66"/>
      <c r="I2" s="66"/>
      <c r="J2" s="2" t="s">
        <v>355</v>
      </c>
      <c r="K2" s="3" t="s">
        <v>558</v>
      </c>
      <c r="L2" s="3" t="s">
        <v>557</v>
      </c>
      <c r="M2" s="2" t="s">
        <v>574</v>
      </c>
      <c r="N2" s="2" t="s">
        <v>576</v>
      </c>
      <c r="O2" s="68"/>
      <c r="P2" s="67"/>
      <c r="Q2" s="67"/>
      <c r="R2" s="67"/>
    </row>
    <row r="3" spans="1:18" ht="24.9" customHeight="1" x14ac:dyDescent="0.25">
      <c r="A3" s="8">
        <v>1</v>
      </c>
      <c r="B3" s="6" t="s">
        <v>112</v>
      </c>
      <c r="C3" s="13" t="s">
        <v>554</v>
      </c>
      <c r="D3" s="13">
        <v>6100</v>
      </c>
      <c r="E3" s="13" t="s">
        <v>250</v>
      </c>
      <c r="F3" s="13">
        <v>590</v>
      </c>
      <c r="G3" s="13" t="s">
        <v>564</v>
      </c>
      <c r="H3" s="13">
        <v>3</v>
      </c>
      <c r="I3" s="13">
        <v>60</v>
      </c>
      <c r="J3" s="8">
        <v>10</v>
      </c>
      <c r="K3" s="14" t="s">
        <v>251</v>
      </c>
      <c r="L3" s="14">
        <v>0</v>
      </c>
      <c r="M3" s="8">
        <v>0</v>
      </c>
      <c r="N3" s="8"/>
      <c r="O3" s="22"/>
      <c r="P3" s="14">
        <f>D3-(F3+H3)*J3-M3-H3*L3</f>
        <v>170</v>
      </c>
      <c r="Q3" s="10">
        <f>P3-I3</f>
        <v>110</v>
      </c>
      <c r="R3" s="26">
        <f>(D3-P3)/D3</f>
        <v>0.97213114754098362</v>
      </c>
    </row>
    <row r="4" spans="1:18" ht="24.9" customHeight="1" x14ac:dyDescent="0.25">
      <c r="A4" s="33">
        <v>2</v>
      </c>
      <c r="B4" s="45" t="s">
        <v>30</v>
      </c>
      <c r="C4" s="35" t="s">
        <v>555</v>
      </c>
      <c r="D4" s="35">
        <v>5660</v>
      </c>
      <c r="E4" s="35" t="s">
        <v>250</v>
      </c>
      <c r="F4" s="36">
        <v>1360</v>
      </c>
      <c r="G4" s="36" t="s">
        <v>564</v>
      </c>
      <c r="H4" s="36">
        <v>3</v>
      </c>
      <c r="I4" s="13">
        <v>60</v>
      </c>
      <c r="J4" s="33">
        <v>4</v>
      </c>
      <c r="K4" s="37" t="s">
        <v>376</v>
      </c>
      <c r="L4" s="37">
        <v>0</v>
      </c>
      <c r="M4" s="8">
        <v>0</v>
      </c>
      <c r="N4" s="33"/>
      <c r="O4" s="38" t="s">
        <v>131</v>
      </c>
      <c r="P4" s="14">
        <f>D4-(F4+H4)*J4-M4-H4*L4</f>
        <v>208</v>
      </c>
      <c r="Q4" s="10">
        <f>P4-I4</f>
        <v>148</v>
      </c>
      <c r="R4" s="26">
        <f>(D4-P4)/D4</f>
        <v>0.9632508833922262</v>
      </c>
    </row>
    <row r="5" spans="1:18" ht="24.9" customHeight="1" x14ac:dyDescent="0.25">
      <c r="A5" s="33">
        <v>3</v>
      </c>
      <c r="B5" s="45" t="s">
        <v>89</v>
      </c>
      <c r="C5" s="35" t="s">
        <v>555</v>
      </c>
      <c r="D5" s="35">
        <v>5660</v>
      </c>
      <c r="E5" s="35" t="s">
        <v>250</v>
      </c>
      <c r="F5" s="36">
        <v>1370</v>
      </c>
      <c r="G5" s="36" t="s">
        <v>564</v>
      </c>
      <c r="H5" s="36">
        <v>3</v>
      </c>
      <c r="I5" s="13">
        <v>60</v>
      </c>
      <c r="J5" s="33">
        <v>4</v>
      </c>
      <c r="K5" s="39" t="s">
        <v>251</v>
      </c>
      <c r="L5" s="39">
        <v>0</v>
      </c>
      <c r="M5" s="8">
        <v>0</v>
      </c>
      <c r="N5" s="46"/>
      <c r="O5" s="38" t="s">
        <v>131</v>
      </c>
      <c r="P5" s="14">
        <f>D5-(F5+H5)*J5-M5-H5*L5</f>
        <v>168</v>
      </c>
      <c r="Q5" s="10">
        <f>P5-I5</f>
        <v>108</v>
      </c>
      <c r="R5" s="26">
        <f>(D5-P5)/D5</f>
        <v>0.97031802120141342</v>
      </c>
    </row>
    <row r="6" spans="1:18" ht="24.9" customHeight="1" x14ac:dyDescent="0.25">
      <c r="A6" s="33">
        <v>4</v>
      </c>
      <c r="B6" s="45" t="s">
        <v>100</v>
      </c>
      <c r="C6" s="35" t="s">
        <v>555</v>
      </c>
      <c r="D6" s="35">
        <v>5660</v>
      </c>
      <c r="E6" s="35" t="s">
        <v>250</v>
      </c>
      <c r="F6" s="36">
        <v>1400</v>
      </c>
      <c r="G6" s="36" t="s">
        <v>564</v>
      </c>
      <c r="H6" s="36">
        <v>2</v>
      </c>
      <c r="I6" s="13">
        <v>60</v>
      </c>
      <c r="J6" s="33">
        <v>4</v>
      </c>
      <c r="K6" s="39" t="s">
        <v>251</v>
      </c>
      <c r="L6" s="39">
        <v>0</v>
      </c>
      <c r="M6" s="8">
        <v>0</v>
      </c>
      <c r="N6" s="46"/>
      <c r="O6" s="38" t="s">
        <v>131</v>
      </c>
      <c r="P6" s="14">
        <f>D6-(F6+H6)*J6-M6-H6*L6</f>
        <v>52</v>
      </c>
      <c r="Q6" s="10">
        <f>P6-I6</f>
        <v>-8</v>
      </c>
      <c r="R6" s="26">
        <f>(D6-P6)/D6</f>
        <v>0.99081272084805649</v>
      </c>
    </row>
    <row r="7" spans="1:18" ht="24.9" customHeight="1" x14ac:dyDescent="0.25">
      <c r="A7" s="33">
        <v>5</v>
      </c>
      <c r="B7" s="45" t="s">
        <v>33</v>
      </c>
      <c r="C7" s="35" t="s">
        <v>555</v>
      </c>
      <c r="D7" s="35">
        <v>5660</v>
      </c>
      <c r="E7" s="35" t="s">
        <v>250</v>
      </c>
      <c r="F7" s="36">
        <v>1370</v>
      </c>
      <c r="G7" s="36" t="s">
        <v>564</v>
      </c>
      <c r="H7" s="36">
        <v>3</v>
      </c>
      <c r="I7" s="13">
        <v>60</v>
      </c>
      <c r="J7" s="33">
        <v>4</v>
      </c>
      <c r="K7" s="39" t="s">
        <v>251</v>
      </c>
      <c r="L7" s="39">
        <v>0</v>
      </c>
      <c r="M7" s="8">
        <v>0</v>
      </c>
      <c r="N7" s="46"/>
      <c r="O7" s="38" t="s">
        <v>131</v>
      </c>
      <c r="P7" s="14">
        <f>D7-(F7+H7)*J7-M7-H7*L7</f>
        <v>168</v>
      </c>
      <c r="Q7" s="10">
        <f>P7-I7</f>
        <v>108</v>
      </c>
      <c r="R7" s="26">
        <f>(D7-P7)/D7</f>
        <v>0.97031802120141342</v>
      </c>
    </row>
    <row r="8" spans="1:18" ht="24.9" customHeight="1" x14ac:dyDescent="0.25">
      <c r="A8" s="8">
        <v>6</v>
      </c>
      <c r="B8" s="4" t="s">
        <v>171</v>
      </c>
      <c r="C8" s="21" t="s">
        <v>555</v>
      </c>
      <c r="D8" s="21">
        <v>5500</v>
      </c>
      <c r="E8" s="21" t="s">
        <v>250</v>
      </c>
      <c r="F8" s="13">
        <v>1025</v>
      </c>
      <c r="G8" s="13" t="s">
        <v>564</v>
      </c>
      <c r="H8" s="13">
        <v>3</v>
      </c>
      <c r="I8" s="13">
        <v>60</v>
      </c>
      <c r="J8" s="8">
        <v>5</v>
      </c>
      <c r="K8" s="10" t="s">
        <v>251</v>
      </c>
      <c r="L8" s="10">
        <v>0</v>
      </c>
      <c r="M8" s="8">
        <v>0</v>
      </c>
      <c r="N8" s="8"/>
      <c r="O8" s="23"/>
      <c r="P8" s="14">
        <f>D8-(F8+H8)*J8-M8-H8*L8</f>
        <v>360</v>
      </c>
      <c r="Q8" s="10">
        <f>P8-I8</f>
        <v>300</v>
      </c>
      <c r="R8" s="26">
        <f>(D8-P8)/D8</f>
        <v>0.93454545454545457</v>
      </c>
    </row>
    <row r="9" spans="1:18" ht="24.9" customHeight="1" x14ac:dyDescent="0.25">
      <c r="A9" s="8">
        <v>7</v>
      </c>
      <c r="B9" s="4" t="s">
        <v>174</v>
      </c>
      <c r="C9" s="21" t="s">
        <v>555</v>
      </c>
      <c r="D9" s="21">
        <v>5660</v>
      </c>
      <c r="E9" s="21" t="s">
        <v>250</v>
      </c>
      <c r="F9" s="13">
        <v>800</v>
      </c>
      <c r="G9" s="13" t="s">
        <v>564</v>
      </c>
      <c r="H9" s="13">
        <v>3</v>
      </c>
      <c r="I9" s="13">
        <v>60</v>
      </c>
      <c r="J9" s="8">
        <v>5</v>
      </c>
      <c r="K9" s="14" t="s">
        <v>568</v>
      </c>
      <c r="L9" s="14">
        <v>1</v>
      </c>
      <c r="M9" s="8">
        <v>1505</v>
      </c>
      <c r="N9" s="8" t="s">
        <v>563</v>
      </c>
      <c r="O9" s="23"/>
      <c r="P9" s="14">
        <f>D9-(F9+H9)*J9-M9-H9*L9</f>
        <v>137</v>
      </c>
      <c r="Q9" s="10">
        <f>P9-I9</f>
        <v>77</v>
      </c>
      <c r="R9" s="26">
        <f>(D9-P9)/D9</f>
        <v>0.97579505300353353</v>
      </c>
    </row>
    <row r="10" spans="1:18" ht="24.9" customHeight="1" x14ac:dyDescent="0.25">
      <c r="A10" s="8">
        <v>8</v>
      </c>
      <c r="B10" s="4" t="s">
        <v>116</v>
      </c>
      <c r="C10" s="21" t="s">
        <v>555</v>
      </c>
      <c r="D10" s="21">
        <v>6200</v>
      </c>
      <c r="E10" s="21" t="s">
        <v>250</v>
      </c>
      <c r="F10" s="13">
        <v>905</v>
      </c>
      <c r="G10" s="13" t="s">
        <v>564</v>
      </c>
      <c r="H10" s="13">
        <v>3</v>
      </c>
      <c r="I10" s="13">
        <v>60</v>
      </c>
      <c r="J10" s="8">
        <v>5</v>
      </c>
      <c r="K10" s="14" t="s">
        <v>568</v>
      </c>
      <c r="L10" s="14">
        <v>1</v>
      </c>
      <c r="M10" s="8">
        <v>1505</v>
      </c>
      <c r="N10" s="8" t="s">
        <v>563</v>
      </c>
      <c r="O10" s="23"/>
      <c r="P10" s="14">
        <f>D10-(F10+H10)*J10-M10-H10*L10</f>
        <v>152</v>
      </c>
      <c r="Q10" s="10">
        <f>P10-I10</f>
        <v>92</v>
      </c>
      <c r="R10" s="26">
        <f>(D10-P10)/D10</f>
        <v>0.97548387096774192</v>
      </c>
    </row>
    <row r="11" spans="1:18" ht="24.9" customHeight="1" x14ac:dyDescent="0.25">
      <c r="A11" s="8">
        <v>9</v>
      </c>
      <c r="B11" s="4" t="s">
        <v>173</v>
      </c>
      <c r="C11" s="21" t="s">
        <v>555</v>
      </c>
      <c r="D11" s="21">
        <v>5660</v>
      </c>
      <c r="E11" s="21" t="s">
        <v>250</v>
      </c>
      <c r="F11" s="13">
        <v>787</v>
      </c>
      <c r="G11" s="13" t="s">
        <v>564</v>
      </c>
      <c r="H11" s="13">
        <v>3</v>
      </c>
      <c r="I11" s="13">
        <v>60</v>
      </c>
      <c r="J11" s="8">
        <v>7</v>
      </c>
      <c r="K11" s="14" t="s">
        <v>251</v>
      </c>
      <c r="L11" s="14">
        <v>0</v>
      </c>
      <c r="M11" s="8">
        <v>0</v>
      </c>
      <c r="N11" s="8"/>
      <c r="O11" s="23"/>
      <c r="P11" s="14">
        <f>D11-(F11+H11)*J11-M11-H11*L11</f>
        <v>130</v>
      </c>
      <c r="Q11" s="10">
        <f>P11-I11</f>
        <v>70</v>
      </c>
      <c r="R11" s="26">
        <f>(D11-P11)/D11</f>
        <v>0.97703180212014129</v>
      </c>
    </row>
    <row r="12" spans="1:18" ht="24.9" customHeight="1" x14ac:dyDescent="0.25">
      <c r="A12" s="8">
        <v>10</v>
      </c>
      <c r="B12" s="9" t="s">
        <v>132</v>
      </c>
      <c r="C12" s="21" t="s">
        <v>555</v>
      </c>
      <c r="D12" s="21">
        <v>5660</v>
      </c>
      <c r="E12" s="21" t="s">
        <v>250</v>
      </c>
      <c r="F12" s="8">
        <v>786</v>
      </c>
      <c r="G12" s="13" t="s">
        <v>564</v>
      </c>
      <c r="H12" s="13">
        <v>3</v>
      </c>
      <c r="I12" s="13">
        <v>60</v>
      </c>
      <c r="J12" s="8">
        <v>7</v>
      </c>
      <c r="K12" s="10" t="s">
        <v>251</v>
      </c>
      <c r="L12" s="14">
        <v>0</v>
      </c>
      <c r="M12" s="8">
        <v>0</v>
      </c>
      <c r="N12" s="8"/>
      <c r="O12" s="23" t="s">
        <v>22</v>
      </c>
      <c r="P12" s="14">
        <f>D12-(F12+H12)*J12-M12-H12*L12</f>
        <v>137</v>
      </c>
      <c r="Q12" s="10">
        <f>P12-I12</f>
        <v>77</v>
      </c>
      <c r="R12" s="26">
        <f>(D12-P12)/D12</f>
        <v>0.97579505300353353</v>
      </c>
    </row>
    <row r="13" spans="1:18" ht="24.9" customHeight="1" x14ac:dyDescent="0.25">
      <c r="A13" s="33">
        <v>11</v>
      </c>
      <c r="B13" s="45" t="s">
        <v>132</v>
      </c>
      <c r="C13" s="35" t="s">
        <v>555</v>
      </c>
      <c r="D13" s="35">
        <v>6200</v>
      </c>
      <c r="E13" s="35" t="s">
        <v>250</v>
      </c>
      <c r="F13" s="36">
        <v>1505</v>
      </c>
      <c r="G13" s="36" t="s">
        <v>564</v>
      </c>
      <c r="H13" s="13">
        <v>3</v>
      </c>
      <c r="I13" s="13">
        <v>60</v>
      </c>
      <c r="J13" s="33">
        <v>4</v>
      </c>
      <c r="K13" s="37" t="s">
        <v>251</v>
      </c>
      <c r="L13" s="14">
        <v>0</v>
      </c>
      <c r="M13" s="8">
        <v>0</v>
      </c>
      <c r="N13" s="33"/>
      <c r="O13" s="38" t="s">
        <v>131</v>
      </c>
      <c r="P13" s="14">
        <f>D13-(F13+H13)*J13-M13-H13*L13</f>
        <v>168</v>
      </c>
      <c r="Q13" s="10">
        <f>P13-I13</f>
        <v>108</v>
      </c>
      <c r="R13" s="26">
        <f>(D13-P13)/D13</f>
        <v>0.97290322580645161</v>
      </c>
    </row>
    <row r="14" spans="1:18" ht="24.9" customHeight="1" x14ac:dyDescent="0.25">
      <c r="A14" s="8">
        <v>12</v>
      </c>
      <c r="B14" s="4" t="s">
        <v>30</v>
      </c>
      <c r="C14" s="21" t="s">
        <v>555</v>
      </c>
      <c r="D14" s="21">
        <v>5500</v>
      </c>
      <c r="E14" s="21" t="s">
        <v>250</v>
      </c>
      <c r="F14" s="13">
        <v>635.5</v>
      </c>
      <c r="G14" s="13" t="s">
        <v>564</v>
      </c>
      <c r="H14" s="13">
        <v>3</v>
      </c>
      <c r="I14" s="13">
        <v>60</v>
      </c>
      <c r="J14" s="8">
        <v>6</v>
      </c>
      <c r="K14" s="14" t="s">
        <v>568</v>
      </c>
      <c r="L14" s="14">
        <v>1</v>
      </c>
      <c r="M14" s="8">
        <v>1505</v>
      </c>
      <c r="N14" s="8" t="s">
        <v>563</v>
      </c>
      <c r="O14" s="23" t="s">
        <v>22</v>
      </c>
      <c r="P14" s="14">
        <f>D14-(F14+H14)*J14-M14-H14*L14</f>
        <v>161</v>
      </c>
      <c r="Q14" s="10">
        <f>P14-I14</f>
        <v>101</v>
      </c>
      <c r="R14" s="26">
        <f>(D14-P14)/D14</f>
        <v>0.97072727272727277</v>
      </c>
    </row>
    <row r="15" spans="1:18" ht="24.9" customHeight="1" x14ac:dyDescent="0.25">
      <c r="A15" s="8">
        <v>13</v>
      </c>
      <c r="B15" s="4" t="s">
        <v>133</v>
      </c>
      <c r="C15" s="21" t="s">
        <v>555</v>
      </c>
      <c r="D15" s="21">
        <v>5500</v>
      </c>
      <c r="E15" s="21" t="s">
        <v>250</v>
      </c>
      <c r="F15" s="8">
        <v>635.5</v>
      </c>
      <c r="G15" s="8" t="s">
        <v>563</v>
      </c>
      <c r="H15" s="8">
        <v>3</v>
      </c>
      <c r="I15" s="13">
        <v>60</v>
      </c>
      <c r="J15" s="8">
        <v>6</v>
      </c>
      <c r="K15" s="14" t="s">
        <v>568</v>
      </c>
      <c r="L15" s="14">
        <v>1</v>
      </c>
      <c r="M15" s="8">
        <v>1505</v>
      </c>
      <c r="N15" s="8" t="s">
        <v>563</v>
      </c>
      <c r="O15" s="23" t="s">
        <v>22</v>
      </c>
      <c r="P15" s="14">
        <f>D15-(F15+H15)*J15-M15-H15*L15</f>
        <v>161</v>
      </c>
      <c r="Q15" s="10">
        <f>P15-I15</f>
        <v>101</v>
      </c>
      <c r="R15" s="26">
        <f>(D15-P15)/D15</f>
        <v>0.97072727272727277</v>
      </c>
    </row>
    <row r="16" spans="1:18" ht="24.9" customHeight="1" x14ac:dyDescent="0.25">
      <c r="A16" s="8">
        <v>14</v>
      </c>
      <c r="B16" s="4" t="s">
        <v>5</v>
      </c>
      <c r="C16" s="21" t="s">
        <v>555</v>
      </c>
      <c r="D16" s="21">
        <v>6200</v>
      </c>
      <c r="E16" s="21" t="s">
        <v>250</v>
      </c>
      <c r="F16" s="13">
        <v>1210</v>
      </c>
      <c r="G16" s="13" t="s">
        <v>563</v>
      </c>
      <c r="H16" s="13">
        <v>3</v>
      </c>
      <c r="I16" s="13">
        <v>60</v>
      </c>
      <c r="J16" s="8">
        <v>5</v>
      </c>
      <c r="K16" s="14" t="s">
        <v>251</v>
      </c>
      <c r="L16" s="14">
        <v>0</v>
      </c>
      <c r="M16" s="8">
        <v>0</v>
      </c>
      <c r="N16" s="8"/>
      <c r="O16" s="24"/>
      <c r="P16" s="14">
        <f>D16-(F16+H16)*J16-M16-H16*L16</f>
        <v>135</v>
      </c>
      <c r="Q16" s="10">
        <f>P16-I16</f>
        <v>75</v>
      </c>
      <c r="R16" s="26">
        <f>(D16-P16)/D16</f>
        <v>0.97822580645161294</v>
      </c>
    </row>
    <row r="17" spans="1:19" ht="24.9" customHeight="1" x14ac:dyDescent="0.25">
      <c r="A17" s="8">
        <v>15</v>
      </c>
      <c r="B17" s="4" t="s">
        <v>60</v>
      </c>
      <c r="C17" s="21" t="s">
        <v>555</v>
      </c>
      <c r="D17" s="21">
        <v>6200</v>
      </c>
      <c r="E17" s="21" t="s">
        <v>250</v>
      </c>
      <c r="F17" s="13">
        <v>1210</v>
      </c>
      <c r="G17" s="13" t="s">
        <v>563</v>
      </c>
      <c r="H17" s="13">
        <v>3</v>
      </c>
      <c r="I17" s="13">
        <v>60</v>
      </c>
      <c r="J17" s="8">
        <v>5</v>
      </c>
      <c r="K17" s="14" t="s">
        <v>251</v>
      </c>
      <c r="L17" s="14">
        <v>0</v>
      </c>
      <c r="M17" s="8">
        <v>0</v>
      </c>
      <c r="N17" s="8"/>
      <c r="O17" s="24"/>
      <c r="P17" s="14">
        <f>D17-(F17+H17)*J17-M17-H17*L17</f>
        <v>135</v>
      </c>
      <c r="Q17" s="10">
        <f>P17-I17</f>
        <v>75</v>
      </c>
      <c r="R17" s="26">
        <f>(D17-P17)/D17</f>
        <v>0.97822580645161294</v>
      </c>
    </row>
    <row r="18" spans="1:19" ht="24.9" customHeight="1" x14ac:dyDescent="0.25">
      <c r="A18" s="8">
        <v>16</v>
      </c>
      <c r="B18" s="4" t="s">
        <v>72</v>
      </c>
      <c r="C18" s="21" t="s">
        <v>555</v>
      </c>
      <c r="D18" s="21">
        <v>6200</v>
      </c>
      <c r="E18" s="21" t="s">
        <v>250</v>
      </c>
      <c r="F18" s="13">
        <v>1200</v>
      </c>
      <c r="G18" s="13" t="s">
        <v>563</v>
      </c>
      <c r="H18" s="13">
        <v>3</v>
      </c>
      <c r="I18" s="13">
        <v>60</v>
      </c>
      <c r="J18" s="8">
        <v>5</v>
      </c>
      <c r="K18" s="14" t="s">
        <v>251</v>
      </c>
      <c r="L18" s="14">
        <v>0</v>
      </c>
      <c r="M18" s="8">
        <v>0</v>
      </c>
      <c r="N18" s="8"/>
      <c r="O18" s="24"/>
      <c r="P18" s="14">
        <f>D18-(F18+H18)*J18-M18-H18*L18</f>
        <v>185</v>
      </c>
      <c r="Q18" s="10">
        <f>P18-I18</f>
        <v>125</v>
      </c>
      <c r="R18" s="26">
        <f>(D18-P18)/D18</f>
        <v>0.97016129032258069</v>
      </c>
    </row>
    <row r="19" spans="1:19" ht="24.9" customHeight="1" x14ac:dyDescent="0.25">
      <c r="A19" s="8">
        <v>17</v>
      </c>
      <c r="B19" s="11" t="s">
        <v>225</v>
      </c>
      <c r="C19" s="21" t="s">
        <v>555</v>
      </c>
      <c r="D19" s="21">
        <v>6200</v>
      </c>
      <c r="E19" s="21" t="s">
        <v>250</v>
      </c>
      <c r="F19" s="8">
        <v>990</v>
      </c>
      <c r="G19" s="8" t="s">
        <v>563</v>
      </c>
      <c r="H19" s="13">
        <v>3</v>
      </c>
      <c r="I19" s="13">
        <v>60</v>
      </c>
      <c r="J19" s="8">
        <v>6</v>
      </c>
      <c r="K19" s="14" t="s">
        <v>251</v>
      </c>
      <c r="L19" s="14">
        <v>0</v>
      </c>
      <c r="M19" s="8">
        <v>0</v>
      </c>
      <c r="N19" s="8"/>
      <c r="O19" s="24"/>
      <c r="P19" s="14">
        <f>D19-(F19+H19)*J19-M19-H19*L19</f>
        <v>242</v>
      </c>
      <c r="Q19" s="10">
        <f>P19-I19</f>
        <v>182</v>
      </c>
      <c r="R19" s="26">
        <f>(D19-P19)/D19</f>
        <v>0.96096774193548384</v>
      </c>
      <c r="S19" s="5" t="s">
        <v>466</v>
      </c>
    </row>
    <row r="20" spans="1:19" ht="24.9" customHeight="1" x14ac:dyDescent="0.25">
      <c r="A20" s="8">
        <v>18</v>
      </c>
      <c r="B20" s="4" t="s">
        <v>61</v>
      </c>
      <c r="C20" s="13" t="s">
        <v>555</v>
      </c>
      <c r="D20" s="13">
        <v>6200</v>
      </c>
      <c r="E20" s="13" t="s">
        <v>250</v>
      </c>
      <c r="F20" s="13">
        <v>1175</v>
      </c>
      <c r="G20" s="13" t="s">
        <v>563</v>
      </c>
      <c r="H20" s="13">
        <v>3</v>
      </c>
      <c r="I20" s="13">
        <v>60</v>
      </c>
      <c r="J20" s="8">
        <v>5</v>
      </c>
      <c r="K20" s="14" t="s">
        <v>376</v>
      </c>
      <c r="L20" s="14">
        <v>0</v>
      </c>
      <c r="M20" s="8">
        <v>0</v>
      </c>
      <c r="N20" s="13"/>
      <c r="O20" s="24"/>
      <c r="P20" s="14">
        <f>D20-(F20+H20)*J20-M20-H20*L20</f>
        <v>310</v>
      </c>
      <c r="Q20" s="10">
        <f>P20-I20</f>
        <v>250</v>
      </c>
      <c r="R20" s="26">
        <f>(D20-P20)/D20</f>
        <v>0.95</v>
      </c>
    </row>
    <row r="21" spans="1:19" ht="24.9" customHeight="1" x14ac:dyDescent="0.25">
      <c r="A21" s="8">
        <v>19</v>
      </c>
      <c r="B21" s="4" t="s">
        <v>6</v>
      </c>
      <c r="C21" s="21" t="s">
        <v>555</v>
      </c>
      <c r="D21" s="21">
        <v>6200</v>
      </c>
      <c r="E21" s="21" t="s">
        <v>250</v>
      </c>
      <c r="F21" s="8">
        <v>1148</v>
      </c>
      <c r="G21" s="8" t="s">
        <v>563</v>
      </c>
      <c r="H21" s="8">
        <v>3</v>
      </c>
      <c r="I21" s="13">
        <v>60</v>
      </c>
      <c r="J21" s="8">
        <v>4</v>
      </c>
      <c r="K21" s="14" t="s">
        <v>568</v>
      </c>
      <c r="L21" s="14">
        <v>1</v>
      </c>
      <c r="M21" s="8">
        <v>1505</v>
      </c>
      <c r="N21" s="8" t="s">
        <v>563</v>
      </c>
      <c r="O21" s="23"/>
      <c r="P21" s="14">
        <f>D21-(F21+H21)*J21-M21-H21*L21</f>
        <v>88</v>
      </c>
      <c r="Q21" s="10">
        <f>P21-I21</f>
        <v>28</v>
      </c>
      <c r="R21" s="26">
        <f>(D21-P21)/D21</f>
        <v>0.98580645161290326</v>
      </c>
    </row>
    <row r="22" spans="1:19" ht="24.9" customHeight="1" x14ac:dyDescent="0.25">
      <c r="A22" s="8">
        <v>20</v>
      </c>
      <c r="B22" s="4" t="s">
        <v>112</v>
      </c>
      <c r="C22" s="21" t="s">
        <v>555</v>
      </c>
      <c r="D22" s="21">
        <v>6200</v>
      </c>
      <c r="E22" s="21" t="s">
        <v>250</v>
      </c>
      <c r="F22" s="13">
        <v>570</v>
      </c>
      <c r="G22" s="13" t="s">
        <v>563</v>
      </c>
      <c r="H22" s="13">
        <v>3</v>
      </c>
      <c r="I22" s="13">
        <v>60</v>
      </c>
      <c r="J22" s="8">
        <v>8</v>
      </c>
      <c r="K22" s="14" t="s">
        <v>568</v>
      </c>
      <c r="L22" s="14">
        <v>1</v>
      </c>
      <c r="M22" s="8">
        <v>1505</v>
      </c>
      <c r="N22" s="8" t="s">
        <v>563</v>
      </c>
      <c r="O22" s="23"/>
      <c r="P22" s="14">
        <f>D22-(F22+H22)*J22-M22-H22*L22</f>
        <v>108</v>
      </c>
      <c r="Q22" s="10">
        <f>P22-I22</f>
        <v>48</v>
      </c>
      <c r="R22" s="26">
        <f>(D22-P22)/D22</f>
        <v>0.98258064516129029</v>
      </c>
    </row>
    <row r="23" spans="1:19" ht="24.9" customHeight="1" x14ac:dyDescent="0.25">
      <c r="A23" s="47">
        <v>21</v>
      </c>
      <c r="B23" s="58" t="s">
        <v>59</v>
      </c>
      <c r="C23" s="48" t="s">
        <v>555</v>
      </c>
      <c r="D23" s="48">
        <v>6200</v>
      </c>
      <c r="E23" s="48" t="s">
        <v>250</v>
      </c>
      <c r="F23" s="49">
        <v>1180</v>
      </c>
      <c r="G23" s="49" t="s">
        <v>563</v>
      </c>
      <c r="H23" s="13">
        <v>3</v>
      </c>
      <c r="I23" s="13">
        <v>60</v>
      </c>
      <c r="J23" s="47">
        <v>5</v>
      </c>
      <c r="K23" s="51" t="s">
        <v>376</v>
      </c>
      <c r="L23" s="14">
        <v>0</v>
      </c>
      <c r="M23" s="8">
        <v>0</v>
      </c>
      <c r="N23" s="49"/>
      <c r="O23" s="53" t="s">
        <v>106</v>
      </c>
      <c r="P23" s="14">
        <f>D23-(F23+H23)*J23-M23-H23*L23</f>
        <v>285</v>
      </c>
      <c r="Q23" s="10">
        <f>P23-I23</f>
        <v>225</v>
      </c>
      <c r="R23" s="26">
        <f>(D23-P23)/D23</f>
        <v>0.95403225806451608</v>
      </c>
    </row>
    <row r="24" spans="1:19" ht="24.9" customHeight="1" x14ac:dyDescent="0.25">
      <c r="A24" s="33">
        <v>22</v>
      </c>
      <c r="B24" s="45" t="s">
        <v>353</v>
      </c>
      <c r="C24" s="35" t="s">
        <v>555</v>
      </c>
      <c r="D24" s="35">
        <v>5500</v>
      </c>
      <c r="E24" s="35" t="s">
        <v>250</v>
      </c>
      <c r="F24" s="36">
        <v>1350</v>
      </c>
      <c r="G24" s="36" t="s">
        <v>563</v>
      </c>
      <c r="H24" s="13">
        <v>3</v>
      </c>
      <c r="I24" s="13">
        <v>60</v>
      </c>
      <c r="J24" s="33">
        <v>4</v>
      </c>
      <c r="K24" s="39" t="s">
        <v>251</v>
      </c>
      <c r="L24" s="14">
        <v>0</v>
      </c>
      <c r="M24" s="8">
        <v>0</v>
      </c>
      <c r="N24" s="46"/>
      <c r="O24" s="38" t="s">
        <v>131</v>
      </c>
      <c r="P24" s="14">
        <f>D24-(F24+H24)*J24-M24-H24*L24</f>
        <v>88</v>
      </c>
      <c r="Q24" s="10">
        <f>P24-I24</f>
        <v>28</v>
      </c>
      <c r="R24" s="26">
        <f>(D24-P24)/D24</f>
        <v>0.98399999999999999</v>
      </c>
    </row>
    <row r="25" spans="1:19" ht="24.9" customHeight="1" x14ac:dyDescent="0.25">
      <c r="A25" s="33">
        <v>23</v>
      </c>
      <c r="B25" s="45" t="s">
        <v>32</v>
      </c>
      <c r="C25" s="35" t="s">
        <v>555</v>
      </c>
      <c r="D25" s="35">
        <v>5500</v>
      </c>
      <c r="E25" s="35" t="s">
        <v>250</v>
      </c>
      <c r="F25" s="36">
        <v>1350</v>
      </c>
      <c r="G25" s="36" t="s">
        <v>563</v>
      </c>
      <c r="H25" s="13">
        <v>3</v>
      </c>
      <c r="I25" s="13">
        <v>60</v>
      </c>
      <c r="J25" s="33">
        <v>4</v>
      </c>
      <c r="K25" s="39" t="s">
        <v>251</v>
      </c>
      <c r="L25" s="14">
        <v>0</v>
      </c>
      <c r="M25" s="8">
        <v>0</v>
      </c>
      <c r="N25" s="46"/>
      <c r="O25" s="38" t="s">
        <v>131</v>
      </c>
      <c r="P25" s="14">
        <f>D25-(F25+H25)*J25-M25-H25*L25</f>
        <v>88</v>
      </c>
      <c r="Q25" s="10">
        <f>P25-I25</f>
        <v>28</v>
      </c>
      <c r="R25" s="26">
        <f>(D25-P25)/D25</f>
        <v>0.98399999999999999</v>
      </c>
    </row>
    <row r="26" spans="1:19" ht="24.9" customHeight="1" x14ac:dyDescent="0.25">
      <c r="A26" s="33">
        <v>24</v>
      </c>
      <c r="B26" s="45" t="s">
        <v>133</v>
      </c>
      <c r="C26" s="35" t="s">
        <v>555</v>
      </c>
      <c r="D26" s="35">
        <v>5500</v>
      </c>
      <c r="E26" s="35" t="s">
        <v>250</v>
      </c>
      <c r="F26" s="36">
        <v>1340</v>
      </c>
      <c r="G26" s="36" t="s">
        <v>563</v>
      </c>
      <c r="H26" s="13">
        <v>3</v>
      </c>
      <c r="I26" s="13">
        <v>60</v>
      </c>
      <c r="J26" s="33">
        <v>4</v>
      </c>
      <c r="K26" s="39" t="s">
        <v>251</v>
      </c>
      <c r="L26" s="14">
        <v>0</v>
      </c>
      <c r="M26" s="8">
        <v>0</v>
      </c>
      <c r="N26" s="46"/>
      <c r="O26" s="38" t="s">
        <v>131</v>
      </c>
      <c r="P26" s="14">
        <f>D26-(F26+H26)*J26-M26-H26*L26</f>
        <v>128</v>
      </c>
      <c r="Q26" s="10">
        <f>P26-I26</f>
        <v>68</v>
      </c>
      <c r="R26" s="26">
        <f>(D26-P26)/D26</f>
        <v>0.97672727272727278</v>
      </c>
      <c r="S26" s="5" t="s">
        <v>440</v>
      </c>
    </row>
    <row r="27" spans="1:19" ht="24.9" customHeight="1" x14ac:dyDescent="0.25">
      <c r="A27" s="33">
        <v>25</v>
      </c>
      <c r="B27" s="45" t="s">
        <v>134</v>
      </c>
      <c r="C27" s="35" t="s">
        <v>555</v>
      </c>
      <c r="D27" s="35">
        <v>5500</v>
      </c>
      <c r="E27" s="35" t="s">
        <v>250</v>
      </c>
      <c r="F27" s="36">
        <v>1340</v>
      </c>
      <c r="G27" s="36" t="s">
        <v>563</v>
      </c>
      <c r="H27" s="13">
        <v>3</v>
      </c>
      <c r="I27" s="13">
        <v>60</v>
      </c>
      <c r="J27" s="33">
        <v>4</v>
      </c>
      <c r="K27" s="39" t="s">
        <v>251</v>
      </c>
      <c r="L27" s="14">
        <v>0</v>
      </c>
      <c r="M27" s="8">
        <v>0</v>
      </c>
      <c r="N27" s="46"/>
      <c r="O27" s="38" t="s">
        <v>131</v>
      </c>
      <c r="P27" s="14">
        <f>D27-(F27+H27)*J27-M27-H27*L27</f>
        <v>128</v>
      </c>
      <c r="Q27" s="10">
        <f>P27-I27</f>
        <v>68</v>
      </c>
      <c r="R27" s="26">
        <f>(D27-P27)/D27</f>
        <v>0.97672727272727278</v>
      </c>
      <c r="S27" s="5" t="s">
        <v>440</v>
      </c>
    </row>
    <row r="28" spans="1:19" ht="24.9" customHeight="1" x14ac:dyDescent="0.25">
      <c r="A28" s="8">
        <v>26</v>
      </c>
      <c r="B28" s="11" t="s">
        <v>220</v>
      </c>
      <c r="C28" s="21" t="s">
        <v>555</v>
      </c>
      <c r="D28" s="21">
        <v>5500</v>
      </c>
      <c r="E28" s="21" t="s">
        <v>250</v>
      </c>
      <c r="F28" s="8">
        <v>1070</v>
      </c>
      <c r="G28" s="8" t="s">
        <v>563</v>
      </c>
      <c r="H28" s="13">
        <v>3</v>
      </c>
      <c r="I28" s="13">
        <v>60</v>
      </c>
      <c r="J28" s="8">
        <v>5</v>
      </c>
      <c r="K28" s="10" t="s">
        <v>251</v>
      </c>
      <c r="L28" s="14">
        <v>0</v>
      </c>
      <c r="M28" s="8">
        <v>0</v>
      </c>
      <c r="N28" s="8"/>
      <c r="O28" s="24"/>
      <c r="P28" s="14">
        <f>D28-(F28+H28)*J28-M28-H28*L28</f>
        <v>135</v>
      </c>
      <c r="Q28" s="10">
        <f>P28-I28</f>
        <v>75</v>
      </c>
      <c r="R28" s="26">
        <f>(D28-P28)/D28</f>
        <v>0.97545454545454546</v>
      </c>
      <c r="S28" s="43"/>
    </row>
    <row r="29" spans="1:19" ht="24.9" customHeight="1" x14ac:dyDescent="0.25">
      <c r="A29" s="8">
        <v>27</v>
      </c>
      <c r="B29" s="11" t="s">
        <v>221</v>
      </c>
      <c r="C29" s="21" t="s">
        <v>357</v>
      </c>
      <c r="D29" s="21">
        <v>6300</v>
      </c>
      <c r="E29" s="21" t="s">
        <v>250</v>
      </c>
      <c r="F29" s="8">
        <v>1018</v>
      </c>
      <c r="G29" s="8" t="s">
        <v>563</v>
      </c>
      <c r="H29" s="13">
        <v>3</v>
      </c>
      <c r="I29" s="13">
        <v>60</v>
      </c>
      <c r="J29" s="8">
        <v>6</v>
      </c>
      <c r="K29" s="10" t="s">
        <v>251</v>
      </c>
      <c r="L29" s="14">
        <v>0</v>
      </c>
      <c r="M29" s="8">
        <v>0</v>
      </c>
      <c r="N29" s="8"/>
      <c r="O29" s="23"/>
      <c r="P29" s="14">
        <f>D29-(F29+H29)*J29-M29-H29*L29</f>
        <v>174</v>
      </c>
      <c r="Q29" s="10">
        <f>P29-I29</f>
        <v>114</v>
      </c>
      <c r="R29" s="26">
        <f>(D29-P29)/D29</f>
        <v>0.97238095238095235</v>
      </c>
    </row>
    <row r="30" spans="1:19" ht="24.9" customHeight="1" x14ac:dyDescent="0.25">
      <c r="A30" s="8">
        <v>28</v>
      </c>
      <c r="B30" s="11" t="s">
        <v>224</v>
      </c>
      <c r="C30" s="21" t="s">
        <v>555</v>
      </c>
      <c r="D30" s="21">
        <v>5500</v>
      </c>
      <c r="E30" s="21" t="s">
        <v>250</v>
      </c>
      <c r="F30" s="8">
        <v>950</v>
      </c>
      <c r="G30" s="8" t="s">
        <v>563</v>
      </c>
      <c r="H30" s="8">
        <v>3</v>
      </c>
      <c r="I30" s="13">
        <v>60</v>
      </c>
      <c r="J30" s="8">
        <v>4</v>
      </c>
      <c r="K30" s="14" t="s">
        <v>568</v>
      </c>
      <c r="L30" s="10">
        <v>1</v>
      </c>
      <c r="M30" s="8">
        <v>1505</v>
      </c>
      <c r="N30" s="8" t="s">
        <v>563</v>
      </c>
      <c r="O30" s="24"/>
      <c r="P30" s="14">
        <f>D30-(F30+H30)*J30-M30-H30*L30</f>
        <v>180</v>
      </c>
      <c r="Q30" s="10">
        <f>P30-I30</f>
        <v>120</v>
      </c>
      <c r="R30" s="26">
        <f>(D30-P30)/D30</f>
        <v>0.96727272727272728</v>
      </c>
    </row>
    <row r="31" spans="1:19" ht="24.9" customHeight="1" x14ac:dyDescent="0.25">
      <c r="A31" s="8">
        <v>29</v>
      </c>
      <c r="B31" s="4" t="s">
        <v>172</v>
      </c>
      <c r="C31" s="21" t="s">
        <v>555</v>
      </c>
      <c r="D31" s="21">
        <v>5500</v>
      </c>
      <c r="E31" s="21" t="s">
        <v>250</v>
      </c>
      <c r="F31" s="13">
        <v>1042</v>
      </c>
      <c r="G31" s="13" t="s">
        <v>563</v>
      </c>
      <c r="H31" s="13">
        <v>3</v>
      </c>
      <c r="I31" s="13">
        <v>60</v>
      </c>
      <c r="J31" s="8">
        <v>5</v>
      </c>
      <c r="K31" s="14" t="s">
        <v>376</v>
      </c>
      <c r="L31" s="14">
        <v>0</v>
      </c>
      <c r="M31" s="8">
        <v>0</v>
      </c>
      <c r="N31" s="8"/>
      <c r="O31" s="23"/>
      <c r="P31" s="14">
        <f>D31-(F31+H31)*J31-M31-H31*L31</f>
        <v>275</v>
      </c>
      <c r="Q31" s="10">
        <f>P31-I31</f>
        <v>215</v>
      </c>
      <c r="R31" s="26">
        <f>(D31-P31)/D31</f>
        <v>0.95</v>
      </c>
    </row>
    <row r="32" spans="1:19" ht="24.9" customHeight="1" x14ac:dyDescent="0.25">
      <c r="A32" s="8">
        <v>30</v>
      </c>
      <c r="B32" s="4" t="s">
        <v>62</v>
      </c>
      <c r="C32" s="21" t="s">
        <v>555</v>
      </c>
      <c r="D32" s="21">
        <v>5500</v>
      </c>
      <c r="E32" s="21" t="s">
        <v>250</v>
      </c>
      <c r="F32" s="13">
        <v>1050</v>
      </c>
      <c r="G32" s="13" t="s">
        <v>563</v>
      </c>
      <c r="H32" s="13">
        <v>3</v>
      </c>
      <c r="I32" s="13">
        <v>60</v>
      </c>
      <c r="J32" s="8">
        <v>5</v>
      </c>
      <c r="K32" s="14" t="s">
        <v>376</v>
      </c>
      <c r="L32" s="14">
        <v>0</v>
      </c>
      <c r="M32" s="8">
        <v>0</v>
      </c>
      <c r="N32" s="8"/>
      <c r="O32" s="23"/>
      <c r="P32" s="14">
        <f>D32-(F32+H32)*J32-M32-H32*L32</f>
        <v>235</v>
      </c>
      <c r="Q32" s="10">
        <f>P32-I32</f>
        <v>175</v>
      </c>
      <c r="R32" s="26">
        <f>(D32-P32)/D32</f>
        <v>0.95727272727272728</v>
      </c>
    </row>
    <row r="33" spans="1:19" ht="24.9" customHeight="1" x14ac:dyDescent="0.25">
      <c r="A33" s="8">
        <v>31</v>
      </c>
      <c r="B33" s="6" t="s">
        <v>45</v>
      </c>
      <c r="C33" s="21" t="s">
        <v>357</v>
      </c>
      <c r="D33" s="21">
        <v>6100</v>
      </c>
      <c r="E33" s="21" t="s">
        <v>250</v>
      </c>
      <c r="F33" s="13">
        <v>1055</v>
      </c>
      <c r="G33" s="13" t="s">
        <v>563</v>
      </c>
      <c r="H33" s="13">
        <v>3</v>
      </c>
      <c r="I33" s="13">
        <v>60</v>
      </c>
      <c r="J33" s="8">
        <v>5</v>
      </c>
      <c r="K33" s="10" t="s">
        <v>377</v>
      </c>
      <c r="L33" s="10">
        <v>1</v>
      </c>
      <c r="M33" s="8">
        <v>560</v>
      </c>
      <c r="N33" s="8" t="s">
        <v>563</v>
      </c>
      <c r="O33" s="24"/>
      <c r="P33" s="14">
        <f>D33-(F33+H33)*J33-M33-H33*L33</f>
        <v>247</v>
      </c>
      <c r="Q33" s="10">
        <f>P33-I33</f>
        <v>187</v>
      </c>
      <c r="R33" s="26">
        <f>(D33-P33)/D33</f>
        <v>0.95950819672131149</v>
      </c>
    </row>
    <row r="34" spans="1:19" ht="24.9" customHeight="1" x14ac:dyDescent="0.25">
      <c r="A34" s="8">
        <v>32</v>
      </c>
      <c r="B34" s="6" t="s">
        <v>52</v>
      </c>
      <c r="C34" s="21" t="s">
        <v>357</v>
      </c>
      <c r="D34" s="21">
        <v>6300</v>
      </c>
      <c r="E34" s="21" t="s">
        <v>250</v>
      </c>
      <c r="F34" s="13">
        <v>1045</v>
      </c>
      <c r="G34" s="13" t="s">
        <v>563</v>
      </c>
      <c r="H34" s="13">
        <v>2</v>
      </c>
      <c r="I34" s="13">
        <v>60</v>
      </c>
      <c r="J34" s="8">
        <v>4</v>
      </c>
      <c r="K34" s="27" t="s">
        <v>399</v>
      </c>
      <c r="L34" s="27">
        <v>2</v>
      </c>
      <c r="M34" s="13">
        <v>1010</v>
      </c>
      <c r="N34" s="13" t="s">
        <v>563</v>
      </c>
      <c r="O34" s="24"/>
      <c r="P34" s="14">
        <f>D34-(F34+H34)*J34-M34-H34*L34</f>
        <v>1098</v>
      </c>
      <c r="Q34" s="10">
        <f>P34-I34</f>
        <v>1038</v>
      </c>
      <c r="R34" s="26">
        <f>(D34-P34)/D34</f>
        <v>0.82571428571428573</v>
      </c>
    </row>
    <row r="35" spans="1:19" ht="24.9" customHeight="1" x14ac:dyDescent="0.25">
      <c r="A35" s="8">
        <v>33</v>
      </c>
      <c r="B35" s="9" t="s">
        <v>11</v>
      </c>
      <c r="C35" s="21" t="s">
        <v>357</v>
      </c>
      <c r="D35" s="21">
        <v>6100</v>
      </c>
      <c r="E35" s="21" t="s">
        <v>250</v>
      </c>
      <c r="F35" s="13">
        <v>1180</v>
      </c>
      <c r="G35" s="13" t="s">
        <v>563</v>
      </c>
      <c r="H35" s="13">
        <v>3</v>
      </c>
      <c r="I35" s="13">
        <v>60</v>
      </c>
      <c r="J35" s="8">
        <v>5</v>
      </c>
      <c r="K35" s="14" t="s">
        <v>376</v>
      </c>
      <c r="L35" s="14">
        <v>0</v>
      </c>
      <c r="M35" s="8">
        <v>0</v>
      </c>
      <c r="N35" s="8"/>
      <c r="O35" s="24"/>
      <c r="P35" s="14">
        <f>D35-(F35+H35)*J35-M35-H35*L35</f>
        <v>185</v>
      </c>
      <c r="Q35" s="10">
        <f>P35-I35</f>
        <v>125</v>
      </c>
      <c r="R35" s="26">
        <f>(D35-P35)/D35</f>
        <v>0.96967213114754103</v>
      </c>
      <c r="S35" s="27" t="s">
        <v>408</v>
      </c>
    </row>
    <row r="36" spans="1:19" ht="24.9" customHeight="1" x14ac:dyDescent="0.25">
      <c r="A36" s="8">
        <v>34</v>
      </c>
      <c r="B36" s="9" t="s">
        <v>12</v>
      </c>
      <c r="C36" s="21" t="s">
        <v>357</v>
      </c>
      <c r="D36" s="21">
        <v>6100</v>
      </c>
      <c r="E36" s="21" t="s">
        <v>250</v>
      </c>
      <c r="F36" s="13">
        <v>1190</v>
      </c>
      <c r="G36" s="13" t="s">
        <v>563</v>
      </c>
      <c r="H36" s="13">
        <v>3</v>
      </c>
      <c r="I36" s="13">
        <v>60</v>
      </c>
      <c r="J36" s="8">
        <v>5</v>
      </c>
      <c r="K36" s="14" t="s">
        <v>251</v>
      </c>
      <c r="L36" s="14">
        <v>0</v>
      </c>
      <c r="M36" s="8">
        <v>0</v>
      </c>
      <c r="N36" s="8"/>
      <c r="O36" s="24"/>
      <c r="P36" s="14">
        <f>D36-(F36+H36)*J36-M36-H36*L36</f>
        <v>135</v>
      </c>
      <c r="Q36" s="10">
        <f>P36-I36</f>
        <v>75</v>
      </c>
      <c r="R36" s="26">
        <f>(D36-P36)/D36</f>
        <v>0.97786885245901645</v>
      </c>
    </row>
    <row r="37" spans="1:19" ht="24.9" customHeight="1" x14ac:dyDescent="0.25">
      <c r="A37" s="8">
        <v>35</v>
      </c>
      <c r="B37" s="9" t="s">
        <v>14</v>
      </c>
      <c r="C37" s="21" t="s">
        <v>357</v>
      </c>
      <c r="D37" s="21">
        <v>6100</v>
      </c>
      <c r="E37" s="21" t="s">
        <v>250</v>
      </c>
      <c r="F37" s="13">
        <v>1180</v>
      </c>
      <c r="G37" s="13" t="s">
        <v>563</v>
      </c>
      <c r="H37" s="13">
        <v>3</v>
      </c>
      <c r="I37" s="13">
        <v>60</v>
      </c>
      <c r="J37" s="8">
        <v>5</v>
      </c>
      <c r="K37" s="14" t="s">
        <v>251</v>
      </c>
      <c r="L37" s="14">
        <v>0</v>
      </c>
      <c r="M37" s="8">
        <v>0</v>
      </c>
      <c r="N37" s="8"/>
      <c r="O37" s="24"/>
      <c r="P37" s="14">
        <f>D37-(F37+H37)*J37-M37-H37*L37</f>
        <v>185</v>
      </c>
      <c r="Q37" s="10">
        <f>P37-I37</f>
        <v>125</v>
      </c>
      <c r="R37" s="26">
        <f>(D37-P37)/D37</f>
        <v>0.96967213114754103</v>
      </c>
    </row>
    <row r="38" spans="1:19" ht="24.9" customHeight="1" x14ac:dyDescent="0.25">
      <c r="A38" s="8">
        <v>36</v>
      </c>
      <c r="B38" s="9" t="s">
        <v>269</v>
      </c>
      <c r="C38" s="13" t="s">
        <v>357</v>
      </c>
      <c r="D38" s="13">
        <v>6100</v>
      </c>
      <c r="E38" s="13" t="s">
        <v>250</v>
      </c>
      <c r="F38" s="13">
        <v>583.5</v>
      </c>
      <c r="G38" s="13" t="s">
        <v>563</v>
      </c>
      <c r="H38" s="13">
        <v>3</v>
      </c>
      <c r="I38" s="13">
        <v>60</v>
      </c>
      <c r="J38" s="8">
        <v>10</v>
      </c>
      <c r="K38" s="14" t="s">
        <v>376</v>
      </c>
      <c r="L38" s="14">
        <v>0</v>
      </c>
      <c r="M38" s="8">
        <v>0</v>
      </c>
      <c r="N38" s="8"/>
      <c r="O38" s="23" t="s">
        <v>22</v>
      </c>
      <c r="P38" s="14">
        <f>D38-(F38+H38)*J38-M38-H38*L38</f>
        <v>235</v>
      </c>
      <c r="Q38" s="10">
        <f>P38-I38</f>
        <v>175</v>
      </c>
      <c r="R38" s="26">
        <f>(D38-P38)/D38</f>
        <v>0.96147540983606561</v>
      </c>
    </row>
    <row r="39" spans="1:19" ht="24.9" customHeight="1" x14ac:dyDescent="0.25">
      <c r="A39" s="8">
        <v>37</v>
      </c>
      <c r="B39" s="9" t="s">
        <v>24</v>
      </c>
      <c r="C39" s="21" t="s">
        <v>357</v>
      </c>
      <c r="D39" s="21">
        <v>6100</v>
      </c>
      <c r="E39" s="21" t="s">
        <v>250</v>
      </c>
      <c r="F39" s="13">
        <v>584.5</v>
      </c>
      <c r="G39" s="13" t="s">
        <v>563</v>
      </c>
      <c r="H39" s="13">
        <v>3</v>
      </c>
      <c r="I39" s="13">
        <v>60</v>
      </c>
      <c r="J39" s="8">
        <v>10</v>
      </c>
      <c r="K39" s="14" t="s">
        <v>376</v>
      </c>
      <c r="L39" s="14">
        <v>0</v>
      </c>
      <c r="M39" s="8">
        <v>0</v>
      </c>
      <c r="N39" s="8"/>
      <c r="O39" s="23" t="s">
        <v>22</v>
      </c>
      <c r="P39" s="14">
        <f>D39-(F39+H39)*J39-M39-H39*L39</f>
        <v>225</v>
      </c>
      <c r="Q39" s="10">
        <f>P39-I39</f>
        <v>165</v>
      </c>
      <c r="R39" s="26">
        <f>(D39-P39)/D39</f>
        <v>0.96311475409836067</v>
      </c>
    </row>
    <row r="40" spans="1:19" ht="24.9" customHeight="1" x14ac:dyDescent="0.25">
      <c r="A40" s="8">
        <v>38</v>
      </c>
      <c r="B40" s="9" t="s">
        <v>25</v>
      </c>
      <c r="C40" s="21" t="s">
        <v>357</v>
      </c>
      <c r="D40" s="21">
        <v>6100</v>
      </c>
      <c r="E40" s="21" t="s">
        <v>250</v>
      </c>
      <c r="F40" s="13">
        <v>584.5</v>
      </c>
      <c r="G40" s="13" t="s">
        <v>563</v>
      </c>
      <c r="H40" s="13">
        <v>3</v>
      </c>
      <c r="I40" s="13">
        <v>60</v>
      </c>
      <c r="J40" s="8">
        <v>10</v>
      </c>
      <c r="K40" s="14" t="s">
        <v>376</v>
      </c>
      <c r="L40" s="14">
        <v>0</v>
      </c>
      <c r="M40" s="8">
        <v>0</v>
      </c>
      <c r="N40" s="8"/>
      <c r="O40" s="23" t="s">
        <v>22</v>
      </c>
      <c r="P40" s="14">
        <f>D40-(F40+H40)*J40-M40-H40*L40</f>
        <v>225</v>
      </c>
      <c r="Q40" s="10">
        <f>P40-I40</f>
        <v>165</v>
      </c>
      <c r="R40" s="26">
        <f>(D40-P40)/D40</f>
        <v>0.96311475409836067</v>
      </c>
    </row>
    <row r="41" spans="1:19" ht="24.9" customHeight="1" x14ac:dyDescent="0.25">
      <c r="A41" s="8">
        <v>39</v>
      </c>
      <c r="B41" s="9" t="s">
        <v>26</v>
      </c>
      <c r="C41" s="21" t="s">
        <v>357</v>
      </c>
      <c r="D41" s="21">
        <v>6100</v>
      </c>
      <c r="E41" s="21" t="s">
        <v>250</v>
      </c>
      <c r="F41" s="13">
        <v>660</v>
      </c>
      <c r="G41" s="13" t="s">
        <v>563</v>
      </c>
      <c r="H41" s="13">
        <v>3</v>
      </c>
      <c r="I41" s="13">
        <v>60</v>
      </c>
      <c r="J41" s="8">
        <v>9</v>
      </c>
      <c r="K41" s="14" t="s">
        <v>251</v>
      </c>
      <c r="L41" s="14">
        <v>0</v>
      </c>
      <c r="M41" s="8">
        <v>0</v>
      </c>
      <c r="N41" s="8"/>
      <c r="O41" s="23" t="s">
        <v>22</v>
      </c>
      <c r="P41" s="14">
        <f>D41-(F41+H41)*J41-M41-H41*L41</f>
        <v>133</v>
      </c>
      <c r="Q41" s="10">
        <f>P41-I41</f>
        <v>73</v>
      </c>
      <c r="R41" s="26">
        <f>(D41-P41)/D41</f>
        <v>0.97819672131147539</v>
      </c>
    </row>
    <row r="42" spans="1:19" ht="24.9" customHeight="1" x14ac:dyDescent="0.25">
      <c r="A42" s="8">
        <v>40</v>
      </c>
      <c r="B42" s="9" t="s">
        <v>27</v>
      </c>
      <c r="C42" s="21" t="s">
        <v>357</v>
      </c>
      <c r="D42" s="21">
        <v>6100</v>
      </c>
      <c r="E42" s="21" t="s">
        <v>250</v>
      </c>
      <c r="F42" s="13">
        <v>660</v>
      </c>
      <c r="G42" s="13" t="s">
        <v>563</v>
      </c>
      <c r="H42" s="13">
        <v>3</v>
      </c>
      <c r="I42" s="13">
        <v>60</v>
      </c>
      <c r="J42" s="8">
        <v>9</v>
      </c>
      <c r="K42" s="14" t="s">
        <v>251</v>
      </c>
      <c r="L42" s="14">
        <v>0</v>
      </c>
      <c r="M42" s="8">
        <v>0</v>
      </c>
      <c r="N42" s="8"/>
      <c r="O42" s="23" t="s">
        <v>22</v>
      </c>
      <c r="P42" s="14">
        <f>D42-(F42+H42)*J42-M42-H42*L42</f>
        <v>133</v>
      </c>
      <c r="Q42" s="10">
        <f>P42-I42</f>
        <v>73</v>
      </c>
      <c r="R42" s="26">
        <f>(D42-P42)/D42</f>
        <v>0.97819672131147539</v>
      </c>
    </row>
    <row r="43" spans="1:19" ht="24.9" customHeight="1" x14ac:dyDescent="0.25">
      <c r="A43" s="8">
        <v>41</v>
      </c>
      <c r="B43" s="9" t="s">
        <v>28</v>
      </c>
      <c r="C43" s="21" t="s">
        <v>357</v>
      </c>
      <c r="D43" s="21">
        <v>6100</v>
      </c>
      <c r="E43" s="21" t="s">
        <v>250</v>
      </c>
      <c r="F43" s="13">
        <v>645.5</v>
      </c>
      <c r="G43" s="13" t="s">
        <v>563</v>
      </c>
      <c r="H43" s="13">
        <v>3</v>
      </c>
      <c r="I43" s="13">
        <v>60</v>
      </c>
      <c r="J43" s="8">
        <v>9</v>
      </c>
      <c r="K43" s="28" t="s">
        <v>376</v>
      </c>
      <c r="L43" s="14">
        <v>0</v>
      </c>
      <c r="M43" s="8">
        <v>0</v>
      </c>
      <c r="N43" s="8"/>
      <c r="O43" s="23" t="s">
        <v>22</v>
      </c>
      <c r="P43" s="14">
        <f>D43-(F43+H43)*J43-M43-H43*L43</f>
        <v>263.5</v>
      </c>
      <c r="Q43" s="10">
        <f>P43-I43</f>
        <v>203.5</v>
      </c>
      <c r="R43" s="26">
        <f>(D43-P43)/D43</f>
        <v>0.95680327868852455</v>
      </c>
    </row>
    <row r="44" spans="1:19" ht="24.9" customHeight="1" x14ac:dyDescent="0.25">
      <c r="A44" s="8">
        <v>42</v>
      </c>
      <c r="B44" s="9" t="s">
        <v>274</v>
      </c>
      <c r="C44" s="21" t="s">
        <v>357</v>
      </c>
      <c r="D44" s="21">
        <v>6100</v>
      </c>
      <c r="E44" s="21" t="s">
        <v>250</v>
      </c>
      <c r="F44" s="13">
        <v>583</v>
      </c>
      <c r="G44" s="13" t="s">
        <v>563</v>
      </c>
      <c r="H44" s="13">
        <v>3</v>
      </c>
      <c r="I44" s="13">
        <v>60</v>
      </c>
      <c r="J44" s="8">
        <v>10</v>
      </c>
      <c r="K44" s="14" t="s">
        <v>376</v>
      </c>
      <c r="L44" s="14">
        <v>0</v>
      </c>
      <c r="M44" s="8">
        <v>0</v>
      </c>
      <c r="N44" s="8"/>
      <c r="O44" s="23" t="s">
        <v>22</v>
      </c>
      <c r="P44" s="14">
        <f>D44-(F44+H44)*J44-M44-H44*L44</f>
        <v>240</v>
      </c>
      <c r="Q44" s="10">
        <f>P44-I44</f>
        <v>180</v>
      </c>
      <c r="R44" s="26">
        <f>(D44-P44)/D44</f>
        <v>0.96065573770491808</v>
      </c>
    </row>
    <row r="45" spans="1:19" ht="24.9" customHeight="1" x14ac:dyDescent="0.25">
      <c r="A45" s="8">
        <v>43</v>
      </c>
      <c r="B45" s="9" t="s">
        <v>31</v>
      </c>
      <c r="C45" s="21" t="s">
        <v>357</v>
      </c>
      <c r="D45" s="21">
        <v>6100</v>
      </c>
      <c r="E45" s="21" t="s">
        <v>250</v>
      </c>
      <c r="F45" s="13">
        <v>645.5</v>
      </c>
      <c r="G45" s="13" t="s">
        <v>563</v>
      </c>
      <c r="H45" s="13">
        <v>3</v>
      </c>
      <c r="I45" s="13">
        <v>60</v>
      </c>
      <c r="J45" s="8">
        <v>9</v>
      </c>
      <c r="K45" s="28" t="s">
        <v>376</v>
      </c>
      <c r="L45" s="14">
        <v>0</v>
      </c>
      <c r="M45" s="8">
        <v>0</v>
      </c>
      <c r="N45" s="8"/>
      <c r="O45" s="23" t="s">
        <v>22</v>
      </c>
      <c r="P45" s="14">
        <f>D45-(F45+H45)*J45-M45-H45*L45</f>
        <v>263.5</v>
      </c>
      <c r="Q45" s="10">
        <f>P45-I45</f>
        <v>203.5</v>
      </c>
      <c r="R45" s="26">
        <f>(D45-P45)/D45</f>
        <v>0.95680327868852455</v>
      </c>
    </row>
    <row r="46" spans="1:19" ht="24.9" customHeight="1" x14ac:dyDescent="0.25">
      <c r="A46" s="8">
        <v>44</v>
      </c>
      <c r="B46" s="9" t="s">
        <v>279</v>
      </c>
      <c r="C46" s="21" t="s">
        <v>357</v>
      </c>
      <c r="D46" s="21">
        <v>6100</v>
      </c>
      <c r="E46" s="21" t="s">
        <v>250</v>
      </c>
      <c r="F46" s="13">
        <v>646</v>
      </c>
      <c r="G46" s="13" t="s">
        <v>563</v>
      </c>
      <c r="H46" s="13">
        <v>3</v>
      </c>
      <c r="I46" s="13">
        <v>60</v>
      </c>
      <c r="J46" s="8">
        <v>9</v>
      </c>
      <c r="K46" s="28" t="s">
        <v>376</v>
      </c>
      <c r="L46" s="14">
        <v>0</v>
      </c>
      <c r="M46" s="8">
        <v>0</v>
      </c>
      <c r="N46" s="8"/>
      <c r="O46" s="23" t="s">
        <v>22</v>
      </c>
      <c r="P46" s="14">
        <f>D46-(F46+H46)*J46-M46-H46*L46</f>
        <v>259</v>
      </c>
      <c r="Q46" s="10">
        <f>P46-I46</f>
        <v>199</v>
      </c>
      <c r="R46" s="26">
        <f>(D46-P46)/D46</f>
        <v>0.95754098360655737</v>
      </c>
    </row>
    <row r="47" spans="1:19" ht="24.9" customHeight="1" x14ac:dyDescent="0.25">
      <c r="A47" s="8">
        <v>45</v>
      </c>
      <c r="B47" s="6" t="s">
        <v>69</v>
      </c>
      <c r="C47" s="21" t="s">
        <v>357</v>
      </c>
      <c r="D47" s="21">
        <v>6100</v>
      </c>
      <c r="E47" s="21" t="s">
        <v>250</v>
      </c>
      <c r="F47" s="13">
        <v>598.5</v>
      </c>
      <c r="G47" s="13" t="s">
        <v>563</v>
      </c>
      <c r="H47" s="13">
        <v>3</v>
      </c>
      <c r="I47" s="13">
        <v>60</v>
      </c>
      <c r="J47" s="8">
        <v>10</v>
      </c>
      <c r="K47" s="14" t="s">
        <v>251</v>
      </c>
      <c r="L47" s="14">
        <v>0</v>
      </c>
      <c r="M47" s="8">
        <v>0</v>
      </c>
      <c r="N47" s="8"/>
      <c r="O47" s="23" t="s">
        <v>22</v>
      </c>
      <c r="P47" s="14">
        <f>D47-(F47+H47)*J47-M47-H47*L47</f>
        <v>85</v>
      </c>
      <c r="Q47" s="10">
        <f>P47-I47</f>
        <v>25</v>
      </c>
      <c r="R47" s="26">
        <f>(D47-P47)/D47</f>
        <v>0.98606557377049175</v>
      </c>
    </row>
    <row r="48" spans="1:19" ht="24.9" customHeight="1" x14ac:dyDescent="0.25">
      <c r="A48" s="8">
        <v>46</v>
      </c>
      <c r="B48" s="6" t="s">
        <v>74</v>
      </c>
      <c r="C48" s="21" t="s">
        <v>357</v>
      </c>
      <c r="D48" s="21">
        <v>6100</v>
      </c>
      <c r="E48" s="21" t="s">
        <v>250</v>
      </c>
      <c r="F48" s="13">
        <v>646.5</v>
      </c>
      <c r="G48" s="13" t="s">
        <v>563</v>
      </c>
      <c r="H48" s="13">
        <v>3</v>
      </c>
      <c r="I48" s="13">
        <v>60</v>
      </c>
      <c r="J48" s="8">
        <v>9</v>
      </c>
      <c r="K48" s="28" t="s">
        <v>376</v>
      </c>
      <c r="L48" s="14">
        <v>0</v>
      </c>
      <c r="M48" s="8">
        <v>0</v>
      </c>
      <c r="N48" s="8"/>
      <c r="O48" s="23" t="s">
        <v>22</v>
      </c>
      <c r="P48" s="14">
        <f>D48-(F48+H48)*J48-M48-H48*L48</f>
        <v>254.5</v>
      </c>
      <c r="Q48" s="10">
        <f>P48-I48</f>
        <v>194.5</v>
      </c>
      <c r="R48" s="26">
        <f>(D48-P48)/D48</f>
        <v>0.95827868852459019</v>
      </c>
    </row>
    <row r="49" spans="1:18" ht="24.9" customHeight="1" x14ac:dyDescent="0.25">
      <c r="A49" s="8">
        <v>47</v>
      </c>
      <c r="B49" s="6" t="s">
        <v>87</v>
      </c>
      <c r="C49" s="21" t="s">
        <v>357</v>
      </c>
      <c r="D49" s="21">
        <v>6100</v>
      </c>
      <c r="E49" s="21" t="s">
        <v>250</v>
      </c>
      <c r="F49" s="13">
        <v>656</v>
      </c>
      <c r="G49" s="13" t="s">
        <v>563</v>
      </c>
      <c r="H49" s="13">
        <v>3</v>
      </c>
      <c r="I49" s="13">
        <v>60</v>
      </c>
      <c r="J49" s="8">
        <v>9</v>
      </c>
      <c r="K49" s="14" t="s">
        <v>251</v>
      </c>
      <c r="L49" s="14">
        <v>0</v>
      </c>
      <c r="M49" s="8">
        <v>0</v>
      </c>
      <c r="N49" s="8"/>
      <c r="O49" s="23" t="s">
        <v>22</v>
      </c>
      <c r="P49" s="14">
        <f>D49-(F49+H49)*J49-M49-H49*L49</f>
        <v>169</v>
      </c>
      <c r="Q49" s="10">
        <f>P49-I49</f>
        <v>109</v>
      </c>
      <c r="R49" s="26">
        <f>(D49-P49)/D49</f>
        <v>0.97229508196721315</v>
      </c>
    </row>
    <row r="50" spans="1:18" ht="24.9" customHeight="1" x14ac:dyDescent="0.25">
      <c r="A50" s="8">
        <v>48</v>
      </c>
      <c r="B50" s="6" t="s">
        <v>98</v>
      </c>
      <c r="C50" s="21" t="s">
        <v>357</v>
      </c>
      <c r="D50" s="21">
        <v>6100</v>
      </c>
      <c r="E50" s="21" t="s">
        <v>250</v>
      </c>
      <c r="F50" s="13">
        <v>659</v>
      </c>
      <c r="G50" s="13" t="s">
        <v>563</v>
      </c>
      <c r="H50" s="13">
        <v>3</v>
      </c>
      <c r="I50" s="13">
        <v>60</v>
      </c>
      <c r="J50" s="8">
        <v>9</v>
      </c>
      <c r="K50" s="14" t="s">
        <v>251</v>
      </c>
      <c r="L50" s="14">
        <v>0</v>
      </c>
      <c r="M50" s="8">
        <v>0</v>
      </c>
      <c r="N50" s="8"/>
      <c r="O50" s="23" t="s">
        <v>22</v>
      </c>
      <c r="P50" s="14">
        <f>D50-(F50+H50)*J50-M50-H50*L50</f>
        <v>142</v>
      </c>
      <c r="Q50" s="10">
        <f>P50-I50</f>
        <v>82</v>
      </c>
      <c r="R50" s="26">
        <f>(D50-P50)/D50</f>
        <v>0.97672131147540986</v>
      </c>
    </row>
    <row r="51" spans="1:18" ht="24.9" customHeight="1" x14ac:dyDescent="0.25">
      <c r="A51" s="8">
        <v>49</v>
      </c>
      <c r="B51" s="6" t="s">
        <v>113</v>
      </c>
      <c r="C51" s="21" t="s">
        <v>357</v>
      </c>
      <c r="D51" s="21">
        <v>6100</v>
      </c>
      <c r="E51" s="21" t="s">
        <v>250</v>
      </c>
      <c r="F51" s="13">
        <v>595</v>
      </c>
      <c r="G51" s="13" t="s">
        <v>563</v>
      </c>
      <c r="H51" s="13">
        <v>3</v>
      </c>
      <c r="I51" s="13">
        <v>60</v>
      </c>
      <c r="J51" s="8">
        <v>10</v>
      </c>
      <c r="K51" s="14" t="s">
        <v>251</v>
      </c>
      <c r="L51" s="14">
        <v>0</v>
      </c>
      <c r="M51" s="8">
        <v>0</v>
      </c>
      <c r="N51" s="8"/>
      <c r="O51" s="23" t="s">
        <v>22</v>
      </c>
      <c r="P51" s="14">
        <f>D51-(F51+H51)*J51-M51-H51*L51</f>
        <v>120</v>
      </c>
      <c r="Q51" s="10">
        <f>P51-I51</f>
        <v>60</v>
      </c>
      <c r="R51" s="26">
        <f>(D51-P51)/D51</f>
        <v>0.98032786885245904</v>
      </c>
    </row>
    <row r="52" spans="1:18" ht="24.9" customHeight="1" x14ac:dyDescent="0.25">
      <c r="A52" s="8">
        <v>50</v>
      </c>
      <c r="B52" s="6" t="s">
        <v>114</v>
      </c>
      <c r="C52" s="21" t="s">
        <v>357</v>
      </c>
      <c r="D52" s="21">
        <v>6100</v>
      </c>
      <c r="E52" s="21" t="s">
        <v>250</v>
      </c>
      <c r="F52" s="13">
        <v>655</v>
      </c>
      <c r="G52" s="13" t="s">
        <v>563</v>
      </c>
      <c r="H52" s="13">
        <v>3</v>
      </c>
      <c r="I52" s="13">
        <v>60</v>
      </c>
      <c r="J52" s="8">
        <v>9</v>
      </c>
      <c r="K52" s="14" t="s">
        <v>251</v>
      </c>
      <c r="L52" s="14">
        <v>0</v>
      </c>
      <c r="M52" s="8">
        <v>0</v>
      </c>
      <c r="N52" s="8"/>
      <c r="O52" s="23" t="s">
        <v>22</v>
      </c>
      <c r="P52" s="14">
        <f>D52-(F52+H52)*J52-M52-H52*L52</f>
        <v>178</v>
      </c>
      <c r="Q52" s="10">
        <f>P52-I52</f>
        <v>118</v>
      </c>
      <c r="R52" s="26">
        <f>(D52-P52)/D52</f>
        <v>0.9708196721311475</v>
      </c>
    </row>
    <row r="53" spans="1:18" ht="24.9" customHeight="1" x14ac:dyDescent="0.25">
      <c r="A53" s="8">
        <v>51</v>
      </c>
      <c r="B53" s="6" t="s">
        <v>117</v>
      </c>
      <c r="C53" s="21" t="s">
        <v>357</v>
      </c>
      <c r="D53" s="21">
        <v>6100</v>
      </c>
      <c r="E53" s="21" t="s">
        <v>250</v>
      </c>
      <c r="F53" s="13">
        <v>579</v>
      </c>
      <c r="G53" s="13" t="s">
        <v>563</v>
      </c>
      <c r="H53" s="13">
        <v>3</v>
      </c>
      <c r="I53" s="13">
        <v>60</v>
      </c>
      <c r="J53" s="8">
        <v>10</v>
      </c>
      <c r="K53" s="28" t="s">
        <v>376</v>
      </c>
      <c r="L53" s="14">
        <v>0</v>
      </c>
      <c r="M53" s="8">
        <v>0</v>
      </c>
      <c r="N53" s="8"/>
      <c r="O53" s="23" t="s">
        <v>22</v>
      </c>
      <c r="P53" s="14">
        <f>D53-(F53+H53)*J53-M53-H53*L53</f>
        <v>280</v>
      </c>
      <c r="Q53" s="10">
        <f>P53-I53</f>
        <v>220</v>
      </c>
      <c r="R53" s="26">
        <f>(D53-P53)/D53</f>
        <v>0.95409836065573772</v>
      </c>
    </row>
    <row r="54" spans="1:18" ht="24.9" customHeight="1" x14ac:dyDescent="0.25">
      <c r="A54" s="8">
        <v>52</v>
      </c>
      <c r="B54" s="9" t="s">
        <v>196</v>
      </c>
      <c r="C54" s="21" t="s">
        <v>357</v>
      </c>
      <c r="D54" s="21">
        <v>5800</v>
      </c>
      <c r="E54" s="21" t="s">
        <v>250</v>
      </c>
      <c r="F54" s="8">
        <v>637</v>
      </c>
      <c r="G54" s="8" t="s">
        <v>575</v>
      </c>
      <c r="H54" s="8">
        <v>3</v>
      </c>
      <c r="I54" s="13">
        <v>60</v>
      </c>
      <c r="J54" s="8">
        <v>8</v>
      </c>
      <c r="K54" s="10" t="s">
        <v>377</v>
      </c>
      <c r="L54" s="10">
        <v>1</v>
      </c>
      <c r="M54" s="8">
        <v>560</v>
      </c>
      <c r="N54" s="8" t="s">
        <v>563</v>
      </c>
      <c r="O54" s="23" t="s">
        <v>22</v>
      </c>
      <c r="P54" s="14">
        <f>D54-(F54+H54)*J54-M54-H54*L54</f>
        <v>117</v>
      </c>
      <c r="Q54" s="10">
        <f>P54-I54</f>
        <v>57</v>
      </c>
      <c r="R54" s="26">
        <f>(D54-P54)/D54</f>
        <v>0.97982758620689658</v>
      </c>
    </row>
    <row r="55" spans="1:18" ht="24.9" customHeight="1" x14ac:dyDescent="0.25">
      <c r="A55" s="8">
        <v>53</v>
      </c>
      <c r="B55" s="9" t="s">
        <v>184</v>
      </c>
      <c r="C55" s="21" t="s">
        <v>357</v>
      </c>
      <c r="D55" s="21">
        <v>6100</v>
      </c>
      <c r="E55" s="21" t="s">
        <v>250</v>
      </c>
      <c r="F55" s="13">
        <v>536</v>
      </c>
      <c r="G55" s="13" t="s">
        <v>563</v>
      </c>
      <c r="H55" s="13">
        <v>3</v>
      </c>
      <c r="I55" s="13">
        <v>60</v>
      </c>
      <c r="J55" s="8">
        <v>11</v>
      </c>
      <c r="K55" s="14" t="s">
        <v>251</v>
      </c>
      <c r="L55" s="14">
        <v>0</v>
      </c>
      <c r="M55" s="8">
        <v>0</v>
      </c>
      <c r="N55" s="8"/>
      <c r="O55" s="23" t="s">
        <v>22</v>
      </c>
      <c r="P55" s="14">
        <f>D55-(F55+H55)*J55-M55-H55*L55</f>
        <v>171</v>
      </c>
      <c r="Q55" s="10">
        <f>P55-I55</f>
        <v>111</v>
      </c>
      <c r="R55" s="26">
        <f>(D55-P55)/D55</f>
        <v>0.97196721311475409</v>
      </c>
    </row>
    <row r="56" spans="1:18" ht="24.9" customHeight="1" x14ac:dyDescent="0.25">
      <c r="A56" s="8">
        <v>54</v>
      </c>
      <c r="B56" s="9" t="s">
        <v>186</v>
      </c>
      <c r="C56" s="13" t="s">
        <v>357</v>
      </c>
      <c r="D56" s="13">
        <v>6100</v>
      </c>
      <c r="E56" s="13" t="s">
        <v>250</v>
      </c>
      <c r="F56" s="8">
        <v>641.5</v>
      </c>
      <c r="G56" s="8" t="s">
        <v>563</v>
      </c>
      <c r="H56" s="13">
        <v>3</v>
      </c>
      <c r="I56" s="13">
        <v>60</v>
      </c>
      <c r="J56" s="8">
        <v>9</v>
      </c>
      <c r="K56" s="14" t="s">
        <v>376</v>
      </c>
      <c r="L56" s="14">
        <v>0</v>
      </c>
      <c r="M56" s="8">
        <v>0</v>
      </c>
      <c r="N56" s="8"/>
      <c r="O56" s="23" t="s">
        <v>22</v>
      </c>
      <c r="P56" s="14">
        <f>D56-(F56+H56)*J56-M56-H56*L56</f>
        <v>299.5</v>
      </c>
      <c r="Q56" s="10">
        <f>P56-I56</f>
        <v>239.5</v>
      </c>
      <c r="R56" s="26">
        <f>(D56-P56)/D56</f>
        <v>0.95090163934426231</v>
      </c>
    </row>
    <row r="57" spans="1:18" ht="24.9" customHeight="1" x14ac:dyDescent="0.25">
      <c r="A57" s="8">
        <v>55</v>
      </c>
      <c r="B57" s="4" t="s">
        <v>190</v>
      </c>
      <c r="C57" s="21" t="s">
        <v>357</v>
      </c>
      <c r="D57" s="21">
        <v>5800</v>
      </c>
      <c r="E57" s="21" t="s">
        <v>250</v>
      </c>
      <c r="F57" s="13">
        <v>720.5</v>
      </c>
      <c r="G57" s="13" t="s">
        <v>563</v>
      </c>
      <c r="H57" s="13">
        <v>2</v>
      </c>
      <c r="I57" s="13">
        <v>60</v>
      </c>
      <c r="J57" s="8">
        <v>7</v>
      </c>
      <c r="K57" s="10" t="s">
        <v>377</v>
      </c>
      <c r="L57" s="10">
        <v>1</v>
      </c>
      <c r="M57" s="8">
        <v>560</v>
      </c>
      <c r="N57" s="8" t="s">
        <v>563</v>
      </c>
      <c r="O57" s="23" t="s">
        <v>22</v>
      </c>
      <c r="P57" s="14">
        <f>D57-(F57+H57)*J57-M57-H57*L57</f>
        <v>180.5</v>
      </c>
      <c r="Q57" s="10">
        <f>P57-I57</f>
        <v>120.5</v>
      </c>
      <c r="R57" s="26">
        <f>(D57-P57)/D57</f>
        <v>0.96887931034482755</v>
      </c>
    </row>
    <row r="58" spans="1:18" ht="24.9" customHeight="1" x14ac:dyDescent="0.25">
      <c r="A58" s="8">
        <v>56</v>
      </c>
      <c r="B58" s="4" t="s">
        <v>194</v>
      </c>
      <c r="C58" s="21" t="s">
        <v>357</v>
      </c>
      <c r="D58" s="21">
        <v>6100</v>
      </c>
      <c r="E58" s="21" t="s">
        <v>250</v>
      </c>
      <c r="F58" s="13">
        <v>480</v>
      </c>
      <c r="G58" s="13" t="s">
        <v>575</v>
      </c>
      <c r="H58" s="13">
        <v>2</v>
      </c>
      <c r="I58" s="13">
        <v>60</v>
      </c>
      <c r="J58" s="8">
        <v>10</v>
      </c>
      <c r="K58" s="14" t="s">
        <v>569</v>
      </c>
      <c r="L58" s="10">
        <v>1</v>
      </c>
      <c r="M58" s="8">
        <v>1210</v>
      </c>
      <c r="N58" s="8" t="s">
        <v>563</v>
      </c>
      <c r="O58" s="23" t="s">
        <v>22</v>
      </c>
      <c r="P58" s="14">
        <f>D58-(F58+H58)*J58-M58-H58*L58</f>
        <v>68</v>
      </c>
      <c r="Q58" s="10">
        <f>P58-I58</f>
        <v>8</v>
      </c>
      <c r="R58" s="26">
        <f>(D58-P58)/D58</f>
        <v>0.9888524590163934</v>
      </c>
    </row>
    <row r="59" spans="1:18" ht="24.9" customHeight="1" x14ac:dyDescent="0.25">
      <c r="A59" s="8">
        <v>57</v>
      </c>
      <c r="B59" s="4" t="s">
        <v>198</v>
      </c>
      <c r="C59" s="21" t="s">
        <v>357</v>
      </c>
      <c r="D59" s="21">
        <v>5800</v>
      </c>
      <c r="E59" s="21" t="s">
        <v>250</v>
      </c>
      <c r="F59" s="13">
        <v>710.5</v>
      </c>
      <c r="G59" s="13" t="s">
        <v>563</v>
      </c>
      <c r="H59" s="13">
        <v>3</v>
      </c>
      <c r="I59" s="13">
        <v>60</v>
      </c>
      <c r="J59" s="8">
        <v>8</v>
      </c>
      <c r="K59" s="14" t="s">
        <v>376</v>
      </c>
      <c r="L59" s="14">
        <v>0</v>
      </c>
      <c r="M59" s="8">
        <v>0</v>
      </c>
      <c r="N59" s="8"/>
      <c r="O59" s="23" t="s">
        <v>22</v>
      </c>
      <c r="P59" s="14">
        <f>D59-(F59+H59)*J59-M59-H59*L59</f>
        <v>92</v>
      </c>
      <c r="Q59" s="10">
        <f>P59-I59</f>
        <v>32</v>
      </c>
      <c r="R59" s="26">
        <f>(D59-P59)/D59</f>
        <v>0.98413793103448277</v>
      </c>
    </row>
    <row r="60" spans="1:18" ht="24.9" customHeight="1" x14ac:dyDescent="0.25">
      <c r="A60" s="8">
        <v>58</v>
      </c>
      <c r="B60" s="4" t="s">
        <v>47</v>
      </c>
      <c r="C60" s="21" t="s">
        <v>357</v>
      </c>
      <c r="D60" s="21">
        <v>6100</v>
      </c>
      <c r="E60" s="21" t="s">
        <v>250</v>
      </c>
      <c r="F60" s="13">
        <v>1000</v>
      </c>
      <c r="G60" s="13" t="s">
        <v>563</v>
      </c>
      <c r="H60" s="13">
        <v>3</v>
      </c>
      <c r="I60" s="13">
        <v>60</v>
      </c>
      <c r="J60" s="8">
        <v>6</v>
      </c>
      <c r="K60" s="14" t="s">
        <v>251</v>
      </c>
      <c r="L60" s="14">
        <v>0</v>
      </c>
      <c r="M60" s="8">
        <v>0</v>
      </c>
      <c r="N60" s="8"/>
      <c r="O60" s="23"/>
      <c r="P60" s="14">
        <f>D60-(F60+H60)*J60-M60-H60*L60</f>
        <v>82</v>
      </c>
      <c r="Q60" s="10">
        <f>P60-I60</f>
        <v>22</v>
      </c>
      <c r="R60" s="26">
        <f>(D60-P60)/D60</f>
        <v>0.98655737704918034</v>
      </c>
    </row>
    <row r="61" spans="1:18" ht="24.9" customHeight="1" x14ac:dyDescent="0.25">
      <c r="A61" s="8">
        <v>59</v>
      </c>
      <c r="B61" s="4" t="s">
        <v>64</v>
      </c>
      <c r="C61" s="21" t="s">
        <v>357</v>
      </c>
      <c r="D61" s="21">
        <v>6100</v>
      </c>
      <c r="E61" s="21" t="s">
        <v>250</v>
      </c>
      <c r="F61" s="13">
        <v>1200</v>
      </c>
      <c r="G61" s="13" t="s">
        <v>563</v>
      </c>
      <c r="H61" s="13">
        <v>3</v>
      </c>
      <c r="I61" s="13">
        <v>60</v>
      </c>
      <c r="J61" s="8">
        <v>5</v>
      </c>
      <c r="K61" s="14" t="s">
        <v>251</v>
      </c>
      <c r="L61" s="14">
        <v>0</v>
      </c>
      <c r="M61" s="8">
        <v>0</v>
      </c>
      <c r="N61" s="8"/>
      <c r="O61" s="23"/>
      <c r="P61" s="14">
        <f>D61-(F61+H61)*J61-M61-H61*L61</f>
        <v>85</v>
      </c>
      <c r="Q61" s="10">
        <f>P61-I61</f>
        <v>25</v>
      </c>
      <c r="R61" s="26">
        <f>(D61-P61)/D61</f>
        <v>0.98606557377049175</v>
      </c>
    </row>
    <row r="62" spans="1:18" ht="24.9" customHeight="1" x14ac:dyDescent="0.25">
      <c r="A62" s="8">
        <v>60</v>
      </c>
      <c r="B62" s="4" t="s">
        <v>71</v>
      </c>
      <c r="C62" s="13" t="s">
        <v>357</v>
      </c>
      <c r="D62" s="13">
        <v>5800</v>
      </c>
      <c r="E62" s="13" t="s">
        <v>250</v>
      </c>
      <c r="F62" s="13">
        <v>1070</v>
      </c>
      <c r="G62" s="13" t="s">
        <v>563</v>
      </c>
      <c r="H62" s="13">
        <v>3</v>
      </c>
      <c r="I62" s="13">
        <v>60</v>
      </c>
      <c r="J62" s="8">
        <v>4</v>
      </c>
      <c r="K62" s="14" t="s">
        <v>569</v>
      </c>
      <c r="L62" s="10">
        <v>1</v>
      </c>
      <c r="M62" s="8">
        <v>1210</v>
      </c>
      <c r="N62" s="8" t="s">
        <v>563</v>
      </c>
      <c r="O62" s="24"/>
      <c r="P62" s="14">
        <f>D62-(F62+H62)*J62-M62-H62*L62</f>
        <v>295</v>
      </c>
      <c r="Q62" s="10">
        <f>P62-I62</f>
        <v>235</v>
      </c>
      <c r="R62" s="26">
        <f>(D62-P62)/D62</f>
        <v>0.94913793103448274</v>
      </c>
    </row>
    <row r="63" spans="1:18" ht="24.9" customHeight="1" x14ac:dyDescent="0.25">
      <c r="A63" s="8">
        <v>61</v>
      </c>
      <c r="B63" s="4" t="s">
        <v>17</v>
      </c>
      <c r="C63" s="21" t="s">
        <v>357</v>
      </c>
      <c r="D63" s="21">
        <v>6100</v>
      </c>
      <c r="E63" s="21" t="s">
        <v>250</v>
      </c>
      <c r="F63" s="13">
        <v>1180</v>
      </c>
      <c r="G63" s="13" t="s">
        <v>563</v>
      </c>
      <c r="H63" s="13">
        <v>3</v>
      </c>
      <c r="I63" s="13">
        <v>60</v>
      </c>
      <c r="J63" s="8">
        <v>5</v>
      </c>
      <c r="K63" s="14" t="s">
        <v>251</v>
      </c>
      <c r="L63" s="14">
        <v>0</v>
      </c>
      <c r="M63" s="8">
        <v>0</v>
      </c>
      <c r="N63" s="8"/>
      <c r="O63" s="24"/>
      <c r="P63" s="14">
        <f>D63-(F63+H63)*J63-M63-H63*L63</f>
        <v>185</v>
      </c>
      <c r="Q63" s="10">
        <f>P63-I63</f>
        <v>125</v>
      </c>
      <c r="R63" s="26">
        <f>(D63-P63)/D63</f>
        <v>0.96967213114754103</v>
      </c>
    </row>
    <row r="64" spans="1:18" ht="24.9" customHeight="1" x14ac:dyDescent="0.25">
      <c r="A64" s="8">
        <v>62</v>
      </c>
      <c r="B64" s="4" t="s">
        <v>70</v>
      </c>
      <c r="C64" s="21" t="s">
        <v>357</v>
      </c>
      <c r="D64" s="21">
        <v>6100</v>
      </c>
      <c r="E64" s="21" t="s">
        <v>250</v>
      </c>
      <c r="F64" s="13">
        <v>1205</v>
      </c>
      <c r="G64" s="13" t="s">
        <v>563</v>
      </c>
      <c r="H64" s="13">
        <v>3</v>
      </c>
      <c r="I64" s="13">
        <v>60</v>
      </c>
      <c r="J64" s="8">
        <v>5</v>
      </c>
      <c r="K64" s="14" t="s">
        <v>251</v>
      </c>
      <c r="L64" s="14">
        <v>0</v>
      </c>
      <c r="M64" s="8">
        <v>0</v>
      </c>
      <c r="N64" s="8"/>
      <c r="O64" s="23"/>
      <c r="P64" s="14">
        <f>D64-(F64+H64)*J64-M64-H64*L64</f>
        <v>60</v>
      </c>
      <c r="Q64" s="10">
        <f>P64-I64</f>
        <v>0</v>
      </c>
      <c r="R64" s="26">
        <f>(D64-P64)/D64</f>
        <v>0.99016393442622952</v>
      </c>
    </row>
    <row r="65" spans="1:19" ht="24.9" customHeight="1" x14ac:dyDescent="0.25">
      <c r="A65" s="47">
        <v>63</v>
      </c>
      <c r="B65" s="58" t="s">
        <v>389</v>
      </c>
      <c r="C65" s="48" t="s">
        <v>357</v>
      </c>
      <c r="D65" s="48">
        <v>6100</v>
      </c>
      <c r="E65" s="48" t="s">
        <v>250</v>
      </c>
      <c r="F65" s="49">
        <v>1169</v>
      </c>
      <c r="G65" s="49" t="s">
        <v>563</v>
      </c>
      <c r="H65" s="13">
        <v>3</v>
      </c>
      <c r="I65" s="13">
        <v>60</v>
      </c>
      <c r="J65" s="47">
        <v>5</v>
      </c>
      <c r="K65" s="51" t="s">
        <v>376</v>
      </c>
      <c r="L65" s="14">
        <v>0</v>
      </c>
      <c r="M65" s="8">
        <v>0</v>
      </c>
      <c r="N65" s="47"/>
      <c r="O65" s="53" t="s">
        <v>106</v>
      </c>
      <c r="P65" s="14">
        <f>D65-(F65+H65)*J65-M65-H65*L65</f>
        <v>240</v>
      </c>
      <c r="Q65" s="10">
        <f>P65-I65</f>
        <v>180</v>
      </c>
      <c r="R65" s="26">
        <f>(D65-P65)/D65</f>
        <v>0.96065573770491808</v>
      </c>
    </row>
    <row r="66" spans="1:19" ht="24.9" customHeight="1" x14ac:dyDescent="0.25">
      <c r="A66" s="47">
        <v>64</v>
      </c>
      <c r="B66" s="60" t="s">
        <v>81</v>
      </c>
      <c r="C66" s="48" t="s">
        <v>357</v>
      </c>
      <c r="D66" s="48">
        <v>6100</v>
      </c>
      <c r="E66" s="48" t="s">
        <v>250</v>
      </c>
      <c r="F66" s="49">
        <v>1189</v>
      </c>
      <c r="G66" s="49" t="s">
        <v>563</v>
      </c>
      <c r="H66" s="13">
        <v>3</v>
      </c>
      <c r="I66" s="13">
        <v>60</v>
      </c>
      <c r="J66" s="47">
        <v>5</v>
      </c>
      <c r="K66" s="51" t="s">
        <v>251</v>
      </c>
      <c r="L66" s="14">
        <v>0</v>
      </c>
      <c r="M66" s="8">
        <v>0</v>
      </c>
      <c r="N66" s="47"/>
      <c r="O66" s="53" t="s">
        <v>106</v>
      </c>
      <c r="P66" s="14">
        <f>D66-(F66+H66)*J66-M66-H66*L66</f>
        <v>140</v>
      </c>
      <c r="Q66" s="10">
        <f>P66-I66</f>
        <v>80</v>
      </c>
      <c r="R66" s="26">
        <f>(D66-P66)/D66</f>
        <v>0.9770491803278688</v>
      </c>
    </row>
    <row r="67" spans="1:19" ht="24.9" customHeight="1" x14ac:dyDescent="0.25">
      <c r="A67" s="47">
        <v>65</v>
      </c>
      <c r="B67" s="58" t="s">
        <v>37</v>
      </c>
      <c r="C67" s="48" t="s">
        <v>357</v>
      </c>
      <c r="D67" s="48">
        <v>6100</v>
      </c>
      <c r="E67" s="48" t="s">
        <v>250</v>
      </c>
      <c r="F67" s="49">
        <v>1169</v>
      </c>
      <c r="G67" s="49" t="s">
        <v>563</v>
      </c>
      <c r="H67" s="13">
        <v>3</v>
      </c>
      <c r="I67" s="13">
        <v>60</v>
      </c>
      <c r="J67" s="47">
        <v>5</v>
      </c>
      <c r="K67" s="51" t="s">
        <v>376</v>
      </c>
      <c r="L67" s="14">
        <v>0</v>
      </c>
      <c r="M67" s="8">
        <v>0</v>
      </c>
      <c r="N67" s="47"/>
      <c r="O67" s="53" t="s">
        <v>106</v>
      </c>
      <c r="P67" s="14">
        <f>D67-(F67+H67)*J67-M67-H67*L67</f>
        <v>240</v>
      </c>
      <c r="Q67" s="10">
        <f>P67-I67</f>
        <v>180</v>
      </c>
      <c r="R67" s="26">
        <f>(D67-P67)/D67</f>
        <v>0.96065573770491808</v>
      </c>
    </row>
    <row r="68" spans="1:19" ht="24.9" customHeight="1" x14ac:dyDescent="0.25">
      <c r="A68" s="47">
        <v>66</v>
      </c>
      <c r="B68" s="58" t="s">
        <v>111</v>
      </c>
      <c r="C68" s="48" t="s">
        <v>357</v>
      </c>
      <c r="D68" s="48">
        <v>6100</v>
      </c>
      <c r="E68" s="48" t="s">
        <v>250</v>
      </c>
      <c r="F68" s="49">
        <v>1174</v>
      </c>
      <c r="G68" s="49" t="s">
        <v>563</v>
      </c>
      <c r="H68" s="13">
        <v>3</v>
      </c>
      <c r="I68" s="13">
        <v>60</v>
      </c>
      <c r="J68" s="47">
        <v>5</v>
      </c>
      <c r="K68" s="51" t="s">
        <v>376</v>
      </c>
      <c r="L68" s="14">
        <v>0</v>
      </c>
      <c r="M68" s="8">
        <v>0</v>
      </c>
      <c r="N68" s="47"/>
      <c r="O68" s="53" t="s">
        <v>106</v>
      </c>
      <c r="P68" s="14">
        <f>D68-(F68+H68)*J68-M68-H68*L68</f>
        <v>215</v>
      </c>
      <c r="Q68" s="10">
        <f>P68-I68</f>
        <v>155</v>
      </c>
      <c r="R68" s="26">
        <f>(D68-P68)/D68</f>
        <v>0.96475409836065573</v>
      </c>
    </row>
    <row r="69" spans="1:19" ht="24.9" customHeight="1" x14ac:dyDescent="0.25">
      <c r="A69" s="47">
        <v>67</v>
      </c>
      <c r="B69" s="60" t="s">
        <v>126</v>
      </c>
      <c r="C69" s="48" t="s">
        <v>357</v>
      </c>
      <c r="D69" s="48">
        <v>6100</v>
      </c>
      <c r="E69" s="48" t="s">
        <v>250</v>
      </c>
      <c r="F69" s="49">
        <v>1169</v>
      </c>
      <c r="G69" s="49" t="s">
        <v>563</v>
      </c>
      <c r="H69" s="13">
        <v>3</v>
      </c>
      <c r="I69" s="13">
        <v>60</v>
      </c>
      <c r="J69" s="47">
        <v>5</v>
      </c>
      <c r="K69" s="51" t="s">
        <v>376</v>
      </c>
      <c r="L69" s="14">
        <v>0</v>
      </c>
      <c r="M69" s="8">
        <v>0</v>
      </c>
      <c r="N69" s="47"/>
      <c r="O69" s="53" t="s">
        <v>106</v>
      </c>
      <c r="P69" s="14">
        <f>D69-(F69+H69)*J69-M69-H69*L69</f>
        <v>240</v>
      </c>
      <c r="Q69" s="10">
        <f>P69-I69</f>
        <v>180</v>
      </c>
      <c r="R69" s="26">
        <f>(D69-P69)/D69</f>
        <v>0.96065573770491808</v>
      </c>
    </row>
    <row r="70" spans="1:19" ht="24.9" customHeight="1" x14ac:dyDescent="0.25">
      <c r="A70" s="8">
        <v>68</v>
      </c>
      <c r="B70" s="4" t="s">
        <v>108</v>
      </c>
      <c r="C70" s="21" t="s">
        <v>357</v>
      </c>
      <c r="D70" s="21">
        <v>6100</v>
      </c>
      <c r="E70" s="21" t="s">
        <v>250</v>
      </c>
      <c r="F70" s="13">
        <v>1180</v>
      </c>
      <c r="G70" s="13" t="s">
        <v>563</v>
      </c>
      <c r="H70" s="13">
        <v>3</v>
      </c>
      <c r="I70" s="13">
        <v>60</v>
      </c>
      <c r="J70" s="8">
        <v>5</v>
      </c>
      <c r="K70" s="14" t="s">
        <v>376</v>
      </c>
      <c r="L70" s="14">
        <v>0</v>
      </c>
      <c r="M70" s="8">
        <v>0</v>
      </c>
      <c r="N70" s="8"/>
      <c r="O70" s="23"/>
      <c r="P70" s="14">
        <f>D70-(F70+H70)*J70-M70-H70*L70</f>
        <v>185</v>
      </c>
      <c r="Q70" s="10">
        <f>P70-I70</f>
        <v>125</v>
      </c>
      <c r="R70" s="26">
        <f>(D70-P70)/D70</f>
        <v>0.96967213114754103</v>
      </c>
      <c r="S70" s="27" t="s">
        <v>408</v>
      </c>
    </row>
    <row r="71" spans="1:19" ht="24.9" customHeight="1" x14ac:dyDescent="0.25">
      <c r="A71" s="8">
        <v>69</v>
      </c>
      <c r="B71" s="4" t="s">
        <v>122</v>
      </c>
      <c r="C71" s="21" t="s">
        <v>357</v>
      </c>
      <c r="D71" s="21">
        <v>6100</v>
      </c>
      <c r="E71" s="21" t="s">
        <v>250</v>
      </c>
      <c r="F71" s="13">
        <v>1170</v>
      </c>
      <c r="G71" s="13" t="s">
        <v>563</v>
      </c>
      <c r="H71" s="13">
        <v>3</v>
      </c>
      <c r="I71" s="13">
        <v>60</v>
      </c>
      <c r="J71" s="8">
        <v>5</v>
      </c>
      <c r="K71" s="14" t="s">
        <v>376</v>
      </c>
      <c r="L71" s="14">
        <v>0</v>
      </c>
      <c r="M71" s="8">
        <v>0</v>
      </c>
      <c r="N71" s="8"/>
      <c r="O71" s="23"/>
      <c r="P71" s="14">
        <f>D71-(F71+H71)*J71-M71-H71*L71</f>
        <v>235</v>
      </c>
      <c r="Q71" s="10">
        <f>P71-I71</f>
        <v>175</v>
      </c>
      <c r="R71" s="26">
        <f>(D71-P71)/D71</f>
        <v>0.96147540983606561</v>
      </c>
    </row>
    <row r="72" spans="1:19" ht="24.9" customHeight="1" x14ac:dyDescent="0.25">
      <c r="A72" s="8">
        <v>70</v>
      </c>
      <c r="B72" s="4" t="s">
        <v>202</v>
      </c>
      <c r="C72" s="21" t="s">
        <v>357</v>
      </c>
      <c r="D72" s="21">
        <v>6100</v>
      </c>
      <c r="E72" s="21" t="s">
        <v>250</v>
      </c>
      <c r="F72" s="13">
        <v>648.5</v>
      </c>
      <c r="G72" s="13" t="s">
        <v>563</v>
      </c>
      <c r="H72" s="13">
        <v>3</v>
      </c>
      <c r="I72" s="13">
        <v>60</v>
      </c>
      <c r="J72" s="8">
        <v>9</v>
      </c>
      <c r="K72" s="28" t="s">
        <v>376</v>
      </c>
      <c r="L72" s="14">
        <v>0</v>
      </c>
      <c r="M72" s="8">
        <v>0</v>
      </c>
      <c r="N72" s="8"/>
      <c r="O72" s="24"/>
      <c r="P72" s="14">
        <f>D72-(F72+H72)*J72-M72-H72*L72</f>
        <v>236.5</v>
      </c>
      <c r="Q72" s="10">
        <f>P72-I72</f>
        <v>176.5</v>
      </c>
      <c r="R72" s="26">
        <f>(D72-P72)/D72</f>
        <v>0.96122950819672126</v>
      </c>
    </row>
    <row r="73" spans="1:19" ht="24.9" customHeight="1" x14ac:dyDescent="0.25">
      <c r="A73" s="8">
        <v>71</v>
      </c>
      <c r="B73" s="4" t="s">
        <v>204</v>
      </c>
      <c r="C73" s="21" t="s">
        <v>357</v>
      </c>
      <c r="D73" s="21">
        <v>6100</v>
      </c>
      <c r="E73" s="21" t="s">
        <v>250</v>
      </c>
      <c r="F73" s="13">
        <v>822.5</v>
      </c>
      <c r="G73" s="13" t="s">
        <v>563</v>
      </c>
      <c r="H73" s="13">
        <v>3</v>
      </c>
      <c r="I73" s="13">
        <v>60</v>
      </c>
      <c r="J73" s="8">
        <v>6</v>
      </c>
      <c r="K73" s="28" t="s">
        <v>570</v>
      </c>
      <c r="L73" s="14">
        <v>1</v>
      </c>
      <c r="M73" s="8">
        <v>1010</v>
      </c>
      <c r="N73" s="8" t="s">
        <v>563</v>
      </c>
      <c r="O73" s="24"/>
      <c r="P73" s="14">
        <f>D73-(F73+H73)*J73-M73-H73*L73</f>
        <v>134</v>
      </c>
      <c r="Q73" s="10">
        <f>P73-I73</f>
        <v>74</v>
      </c>
      <c r="R73" s="26">
        <f>(D73-P73)/D73</f>
        <v>0.97803278688524586</v>
      </c>
    </row>
    <row r="74" spans="1:19" ht="24.9" customHeight="1" x14ac:dyDescent="0.25">
      <c r="A74" s="8">
        <v>72</v>
      </c>
      <c r="B74" s="4" t="s">
        <v>137</v>
      </c>
      <c r="C74" s="13" t="s">
        <v>357</v>
      </c>
      <c r="D74" s="13">
        <v>6100</v>
      </c>
      <c r="E74" s="13" t="s">
        <v>250</v>
      </c>
      <c r="F74" s="13">
        <v>1182</v>
      </c>
      <c r="G74" s="13" t="s">
        <v>563</v>
      </c>
      <c r="H74" s="13">
        <v>3</v>
      </c>
      <c r="I74" s="13">
        <v>60</v>
      </c>
      <c r="J74" s="8">
        <v>5</v>
      </c>
      <c r="K74" s="14" t="s">
        <v>251</v>
      </c>
      <c r="L74" s="14">
        <v>0</v>
      </c>
      <c r="M74" s="8">
        <v>0</v>
      </c>
      <c r="N74" s="8"/>
      <c r="O74" s="23"/>
      <c r="P74" s="14">
        <f>D74-(F74+H74)*J74-M74-H74*L74</f>
        <v>175</v>
      </c>
      <c r="Q74" s="10">
        <f>P74-I74</f>
        <v>115</v>
      </c>
      <c r="R74" s="26">
        <f>(D74-P74)/D74</f>
        <v>0.97131147540983609</v>
      </c>
    </row>
    <row r="75" spans="1:19" ht="24.9" customHeight="1" x14ac:dyDescent="0.25">
      <c r="A75" s="8">
        <v>73</v>
      </c>
      <c r="B75" s="4" t="s">
        <v>530</v>
      </c>
      <c r="C75" s="21" t="s">
        <v>357</v>
      </c>
      <c r="D75" s="21">
        <v>6100</v>
      </c>
      <c r="E75" s="21" t="s">
        <v>250</v>
      </c>
      <c r="F75" s="13">
        <v>1178</v>
      </c>
      <c r="G75" s="13" t="s">
        <v>563</v>
      </c>
      <c r="H75" s="13">
        <v>3</v>
      </c>
      <c r="I75" s="13">
        <v>60</v>
      </c>
      <c r="J75" s="8">
        <v>5</v>
      </c>
      <c r="K75" s="14" t="s">
        <v>251</v>
      </c>
      <c r="L75" s="14">
        <v>0</v>
      </c>
      <c r="M75" s="8">
        <v>0</v>
      </c>
      <c r="N75" s="8"/>
      <c r="O75" s="23" t="s">
        <v>364</v>
      </c>
      <c r="P75" s="14">
        <f>D75-(F75+H75)*J75-M75-H75*L75</f>
        <v>195</v>
      </c>
      <c r="Q75" s="10">
        <f>P75-I75</f>
        <v>135</v>
      </c>
      <c r="R75" s="26">
        <f>(D75-P75)/D75</f>
        <v>0.96803278688524586</v>
      </c>
    </row>
    <row r="76" spans="1:19" ht="24.9" customHeight="1" x14ac:dyDescent="0.25">
      <c r="A76" s="8">
        <v>74</v>
      </c>
      <c r="B76" s="4" t="s">
        <v>140</v>
      </c>
      <c r="C76" s="21" t="s">
        <v>357</v>
      </c>
      <c r="D76" s="21">
        <v>6100</v>
      </c>
      <c r="E76" s="21" t="s">
        <v>250</v>
      </c>
      <c r="F76" s="13">
        <v>970</v>
      </c>
      <c r="G76" s="13" t="s">
        <v>563</v>
      </c>
      <c r="H76" s="13">
        <v>3</v>
      </c>
      <c r="I76" s="13">
        <v>60</v>
      </c>
      <c r="J76" s="8">
        <v>6</v>
      </c>
      <c r="K76" s="14" t="s">
        <v>251</v>
      </c>
      <c r="L76" s="14">
        <v>0</v>
      </c>
      <c r="M76" s="8">
        <v>0</v>
      </c>
      <c r="N76" s="13"/>
      <c r="O76" s="23"/>
      <c r="P76" s="14">
        <f>D76-(F76+H76)*J76-M76-H76*L76</f>
        <v>262</v>
      </c>
      <c r="Q76" s="10">
        <f>P76-I76</f>
        <v>202</v>
      </c>
      <c r="R76" s="26">
        <f>(D76-P76)/D76</f>
        <v>0.9570491803278689</v>
      </c>
      <c r="S76" s="27" t="s">
        <v>467</v>
      </c>
    </row>
    <row r="77" spans="1:19" ht="24.9" customHeight="1" x14ac:dyDescent="0.25">
      <c r="A77" s="8">
        <v>75</v>
      </c>
      <c r="B77" s="4" t="s">
        <v>44</v>
      </c>
      <c r="C77" s="21" t="s">
        <v>357</v>
      </c>
      <c r="D77" s="21">
        <v>6100</v>
      </c>
      <c r="E77" s="21" t="s">
        <v>250</v>
      </c>
      <c r="F77" s="13">
        <v>955</v>
      </c>
      <c r="G77" s="13" t="s">
        <v>563</v>
      </c>
      <c r="H77" s="13">
        <v>3</v>
      </c>
      <c r="I77" s="13">
        <v>60</v>
      </c>
      <c r="J77" s="8">
        <v>5</v>
      </c>
      <c r="K77" s="14" t="s">
        <v>569</v>
      </c>
      <c r="L77" s="14">
        <v>1</v>
      </c>
      <c r="M77" s="8">
        <v>1210</v>
      </c>
      <c r="N77" s="8" t="s">
        <v>563</v>
      </c>
      <c r="O77" s="23"/>
      <c r="P77" s="14">
        <f>D77-(F77+H77)*J77-M77-H77*L77</f>
        <v>97</v>
      </c>
      <c r="Q77" s="10">
        <f>P77-I77</f>
        <v>37</v>
      </c>
      <c r="R77" s="26">
        <f>(D77-P77)/D77</f>
        <v>0.98409836065573775</v>
      </c>
    </row>
    <row r="78" spans="1:19" ht="24.9" customHeight="1" x14ac:dyDescent="0.25">
      <c r="A78" s="8">
        <v>76</v>
      </c>
      <c r="B78" s="4" t="s">
        <v>142</v>
      </c>
      <c r="C78" s="21" t="s">
        <v>357</v>
      </c>
      <c r="D78" s="21">
        <v>6100</v>
      </c>
      <c r="E78" s="21" t="s">
        <v>250</v>
      </c>
      <c r="F78" s="13">
        <v>985</v>
      </c>
      <c r="G78" s="13" t="s">
        <v>563</v>
      </c>
      <c r="H78" s="13">
        <v>3</v>
      </c>
      <c r="I78" s="13">
        <v>60</v>
      </c>
      <c r="J78" s="8">
        <v>6</v>
      </c>
      <c r="K78" s="14" t="s">
        <v>251</v>
      </c>
      <c r="L78" s="14">
        <v>0</v>
      </c>
      <c r="M78" s="8">
        <v>0</v>
      </c>
      <c r="N78" s="8"/>
      <c r="O78" s="23"/>
      <c r="P78" s="14">
        <f>D78-(F78+H78)*J78-M78-H78*L78</f>
        <v>172</v>
      </c>
      <c r="Q78" s="10">
        <f>P78-I78</f>
        <v>112</v>
      </c>
      <c r="R78" s="26">
        <f>(D78-P78)/D78</f>
        <v>0.97180327868852456</v>
      </c>
    </row>
    <row r="79" spans="1:19" ht="24.9" customHeight="1" x14ac:dyDescent="0.25">
      <c r="A79" s="8">
        <v>77</v>
      </c>
      <c r="B79" s="4" t="s">
        <v>156</v>
      </c>
      <c r="C79" s="21" t="s">
        <v>357</v>
      </c>
      <c r="D79" s="21">
        <v>6100</v>
      </c>
      <c r="E79" s="21" t="s">
        <v>250</v>
      </c>
      <c r="F79" s="13">
        <v>1180</v>
      </c>
      <c r="G79" s="13" t="s">
        <v>563</v>
      </c>
      <c r="H79" s="13">
        <v>3</v>
      </c>
      <c r="I79" s="13">
        <v>60</v>
      </c>
      <c r="J79" s="8">
        <v>5</v>
      </c>
      <c r="K79" s="14" t="s">
        <v>251</v>
      </c>
      <c r="L79" s="14">
        <v>0</v>
      </c>
      <c r="M79" s="8">
        <v>0</v>
      </c>
      <c r="N79" s="8"/>
      <c r="O79" s="23"/>
      <c r="P79" s="14">
        <f>D79-(F79+H79)*J79-M79-H79*L79</f>
        <v>185</v>
      </c>
      <c r="Q79" s="10">
        <f>P79-I79</f>
        <v>125</v>
      </c>
      <c r="R79" s="26">
        <f>(D79-P79)/D79</f>
        <v>0.96967213114754103</v>
      </c>
    </row>
    <row r="80" spans="1:19" ht="24.9" customHeight="1" x14ac:dyDescent="0.25">
      <c r="A80" s="8">
        <v>78</v>
      </c>
      <c r="B80" s="9" t="s">
        <v>10</v>
      </c>
      <c r="C80" s="21" t="s">
        <v>357</v>
      </c>
      <c r="D80" s="21">
        <v>6100</v>
      </c>
      <c r="E80" s="21" t="s">
        <v>250</v>
      </c>
      <c r="F80" s="13">
        <v>1165</v>
      </c>
      <c r="G80" s="13" t="s">
        <v>563</v>
      </c>
      <c r="H80" s="13">
        <v>3</v>
      </c>
      <c r="I80" s="13">
        <v>60</v>
      </c>
      <c r="J80" s="8">
        <v>5</v>
      </c>
      <c r="K80" s="14" t="s">
        <v>486</v>
      </c>
      <c r="L80" s="14">
        <v>0</v>
      </c>
      <c r="M80" s="8">
        <v>0</v>
      </c>
      <c r="N80" s="8"/>
      <c r="O80" s="23"/>
      <c r="P80" s="14">
        <f>D80-(F80+H80)*J80-M80-H80*L80</f>
        <v>260</v>
      </c>
      <c r="Q80" s="10">
        <f>P80-I80</f>
        <v>200</v>
      </c>
      <c r="R80" s="26">
        <f>(D80-P80)/D80</f>
        <v>0.95737704918032784</v>
      </c>
      <c r="S80" s="27" t="s">
        <v>408</v>
      </c>
    </row>
    <row r="81" spans="1:19" ht="24.9" customHeight="1" x14ac:dyDescent="0.25">
      <c r="A81" s="8">
        <v>79</v>
      </c>
      <c r="B81" s="6" t="s">
        <v>377</v>
      </c>
      <c r="C81" s="21" t="s">
        <v>357</v>
      </c>
      <c r="D81" s="21">
        <v>5800</v>
      </c>
      <c r="E81" s="21" t="s">
        <v>250</v>
      </c>
      <c r="F81" s="13">
        <v>560</v>
      </c>
      <c r="G81" s="13" t="s">
        <v>563</v>
      </c>
      <c r="H81" s="13">
        <v>3</v>
      </c>
      <c r="I81" s="13">
        <v>60</v>
      </c>
      <c r="J81" s="8">
        <v>10</v>
      </c>
      <c r="K81" s="28" t="s">
        <v>376</v>
      </c>
      <c r="L81" s="14">
        <v>0</v>
      </c>
      <c r="M81" s="8">
        <v>0</v>
      </c>
      <c r="N81" s="8"/>
      <c r="O81" s="23"/>
      <c r="P81" s="14">
        <f>D81-(F81+H81)*J81-M81-H81*L81</f>
        <v>170</v>
      </c>
      <c r="Q81" s="10">
        <f>P81-I81</f>
        <v>110</v>
      </c>
      <c r="R81" s="26">
        <f>(D81-P81)/D81</f>
        <v>0.97068965517241379</v>
      </c>
    </row>
    <row r="82" spans="1:19" ht="24.9" customHeight="1" x14ac:dyDescent="0.25">
      <c r="A82" s="8">
        <v>80</v>
      </c>
      <c r="B82" s="9" t="s">
        <v>199</v>
      </c>
      <c r="C82" s="21" t="s">
        <v>357</v>
      </c>
      <c r="D82" s="21">
        <v>5800</v>
      </c>
      <c r="E82" s="21" t="s">
        <v>250</v>
      </c>
      <c r="F82" s="8">
        <v>584.5</v>
      </c>
      <c r="G82" s="8" t="s">
        <v>563</v>
      </c>
      <c r="H82" s="8">
        <v>3</v>
      </c>
      <c r="I82" s="13">
        <v>60</v>
      </c>
      <c r="J82" s="8">
        <v>8</v>
      </c>
      <c r="K82" s="28" t="s">
        <v>570</v>
      </c>
      <c r="L82" s="14">
        <v>1</v>
      </c>
      <c r="M82" s="8">
        <v>1010</v>
      </c>
      <c r="N82" s="8" t="s">
        <v>563</v>
      </c>
      <c r="O82" s="23" t="s">
        <v>22</v>
      </c>
      <c r="P82" s="14">
        <f>D82-(F82+H82)*J82-M82-H82*L82</f>
        <v>87</v>
      </c>
      <c r="Q82" s="10">
        <f>P82-I82</f>
        <v>27</v>
      </c>
      <c r="R82" s="26">
        <f>(D82-P82)/D82</f>
        <v>0.98499999999999999</v>
      </c>
    </row>
    <row r="83" spans="1:19" ht="24.9" customHeight="1" x14ac:dyDescent="0.25">
      <c r="A83" s="8">
        <v>81</v>
      </c>
      <c r="B83" s="9" t="s">
        <v>18</v>
      </c>
      <c r="C83" s="21" t="s">
        <v>357</v>
      </c>
      <c r="D83" s="21">
        <v>6100</v>
      </c>
      <c r="E83" s="21" t="s">
        <v>250</v>
      </c>
      <c r="F83" s="13">
        <v>1200</v>
      </c>
      <c r="G83" s="13" t="s">
        <v>563</v>
      </c>
      <c r="H83" s="13">
        <v>3</v>
      </c>
      <c r="I83" s="13">
        <v>60</v>
      </c>
      <c r="J83" s="8">
        <v>5</v>
      </c>
      <c r="K83" s="14" t="s">
        <v>251</v>
      </c>
      <c r="L83" s="14">
        <v>0</v>
      </c>
      <c r="M83" s="8">
        <v>0</v>
      </c>
      <c r="N83" s="8"/>
      <c r="O83" s="24"/>
      <c r="P83" s="14">
        <f>D83-(F83+H83)*J83-M83-H83*L83</f>
        <v>85</v>
      </c>
      <c r="Q83" s="10">
        <f>P83-I83</f>
        <v>25</v>
      </c>
      <c r="R83" s="26">
        <f>(D83-P83)/D83</f>
        <v>0.98606557377049175</v>
      </c>
    </row>
    <row r="84" spans="1:19" ht="24.9" customHeight="1" x14ac:dyDescent="0.25">
      <c r="A84" s="47">
        <v>82</v>
      </c>
      <c r="B84" s="54" t="s">
        <v>127</v>
      </c>
      <c r="C84" s="48" t="s">
        <v>357</v>
      </c>
      <c r="D84" s="48">
        <v>6100</v>
      </c>
      <c r="E84" s="48" t="s">
        <v>250</v>
      </c>
      <c r="F84" s="49">
        <v>1209</v>
      </c>
      <c r="G84" s="49" t="s">
        <v>563</v>
      </c>
      <c r="H84" s="13">
        <v>2</v>
      </c>
      <c r="I84" s="13">
        <v>60</v>
      </c>
      <c r="J84" s="47">
        <v>5</v>
      </c>
      <c r="K84" s="51" t="s">
        <v>251</v>
      </c>
      <c r="L84" s="14">
        <v>0</v>
      </c>
      <c r="M84" s="8">
        <v>0</v>
      </c>
      <c r="N84" s="47"/>
      <c r="O84" s="53" t="s">
        <v>106</v>
      </c>
      <c r="P84" s="14">
        <f>D84-(F84+H84)*J84-M84-H84*L84</f>
        <v>45</v>
      </c>
      <c r="Q84" s="10">
        <f>P84-I84</f>
        <v>-15</v>
      </c>
      <c r="R84" s="26">
        <f>(D84-P84)/D84</f>
        <v>0.99262295081967211</v>
      </c>
    </row>
    <row r="85" spans="1:19" ht="24.9" customHeight="1" x14ac:dyDescent="0.25">
      <c r="A85" s="8">
        <v>83</v>
      </c>
      <c r="B85" s="9" t="s">
        <v>9</v>
      </c>
      <c r="C85" s="21" t="s">
        <v>357</v>
      </c>
      <c r="D85" s="21">
        <v>6300</v>
      </c>
      <c r="E85" s="21" t="s">
        <v>250</v>
      </c>
      <c r="F85" s="13">
        <v>1220</v>
      </c>
      <c r="G85" s="13" t="s">
        <v>563</v>
      </c>
      <c r="H85" s="13">
        <v>2</v>
      </c>
      <c r="I85" s="13">
        <v>60</v>
      </c>
      <c r="J85" s="8">
        <v>5</v>
      </c>
      <c r="K85" s="14" t="s">
        <v>251</v>
      </c>
      <c r="L85" s="14">
        <v>0</v>
      </c>
      <c r="M85" s="8">
        <v>0</v>
      </c>
      <c r="N85" s="8"/>
      <c r="O85" s="24"/>
      <c r="P85" s="14">
        <f>D85-(F85+H85)*J85-M85-H85*L85</f>
        <v>190</v>
      </c>
      <c r="Q85" s="10">
        <f>P85-I85</f>
        <v>130</v>
      </c>
      <c r="R85" s="26">
        <f>(D85-P85)/D85</f>
        <v>0.96984126984126984</v>
      </c>
      <c r="S85" s="27" t="s">
        <v>408</v>
      </c>
    </row>
    <row r="86" spans="1:19" ht="24.9" customHeight="1" x14ac:dyDescent="0.25">
      <c r="A86" s="8">
        <v>84</v>
      </c>
      <c r="B86" s="4" t="s">
        <v>213</v>
      </c>
      <c r="C86" s="21" t="s">
        <v>357</v>
      </c>
      <c r="D86" s="21">
        <v>6100</v>
      </c>
      <c r="E86" s="21" t="s">
        <v>250</v>
      </c>
      <c r="F86" s="8">
        <v>644.5</v>
      </c>
      <c r="G86" s="8" t="s">
        <v>563</v>
      </c>
      <c r="H86" s="13">
        <v>2</v>
      </c>
      <c r="I86" s="13">
        <v>60</v>
      </c>
      <c r="J86" s="8">
        <v>9</v>
      </c>
      <c r="K86" s="28" t="s">
        <v>376</v>
      </c>
      <c r="L86" s="14">
        <v>0</v>
      </c>
      <c r="M86" s="8">
        <v>0</v>
      </c>
      <c r="N86" s="8"/>
      <c r="O86" s="23" t="s">
        <v>22</v>
      </c>
      <c r="P86" s="14">
        <f>D86-(F86+H86)*J86-M86-H86*L86</f>
        <v>281.5</v>
      </c>
      <c r="Q86" s="10">
        <f>P86-I86</f>
        <v>221.5</v>
      </c>
      <c r="R86" s="26">
        <f>(D86-P86)/D86</f>
        <v>0.95385245901639348</v>
      </c>
    </row>
    <row r="87" spans="1:19" ht="24.9" customHeight="1" x14ac:dyDescent="0.25">
      <c r="A87" s="8">
        <v>85</v>
      </c>
      <c r="B87" s="4" t="s">
        <v>214</v>
      </c>
      <c r="C87" s="21" t="s">
        <v>357</v>
      </c>
      <c r="D87" s="21">
        <v>6100</v>
      </c>
      <c r="E87" s="21" t="s">
        <v>250</v>
      </c>
      <c r="F87" s="8">
        <v>739.5</v>
      </c>
      <c r="G87" s="8" t="s">
        <v>563</v>
      </c>
      <c r="H87" s="13">
        <v>3</v>
      </c>
      <c r="I87" s="13">
        <v>60</v>
      </c>
      <c r="J87" s="8">
        <v>8</v>
      </c>
      <c r="K87" s="14" t="s">
        <v>251</v>
      </c>
      <c r="L87" s="14">
        <v>0</v>
      </c>
      <c r="M87" s="8">
        <v>0</v>
      </c>
      <c r="N87" s="8"/>
      <c r="O87" s="23" t="s">
        <v>22</v>
      </c>
      <c r="P87" s="14">
        <f>D87-(F87+H87)*J87-M87-H87*L87</f>
        <v>160</v>
      </c>
      <c r="Q87" s="10">
        <f>P87-I87</f>
        <v>100</v>
      </c>
      <c r="R87" s="26">
        <f>(D87-P87)/D87</f>
        <v>0.97377049180327868</v>
      </c>
    </row>
    <row r="88" spans="1:19" ht="24.9" customHeight="1" x14ac:dyDescent="0.25">
      <c r="A88" s="8">
        <v>86</v>
      </c>
      <c r="B88" s="4" t="s">
        <v>216</v>
      </c>
      <c r="C88" s="21" t="s">
        <v>357</v>
      </c>
      <c r="D88" s="21">
        <v>6100</v>
      </c>
      <c r="E88" s="21" t="s">
        <v>250</v>
      </c>
      <c r="F88" s="8">
        <v>723.5</v>
      </c>
      <c r="G88" s="8" t="s">
        <v>563</v>
      </c>
      <c r="H88" s="13">
        <v>3</v>
      </c>
      <c r="I88" s="13">
        <v>60</v>
      </c>
      <c r="J88" s="8">
        <v>8</v>
      </c>
      <c r="K88" s="28" t="s">
        <v>486</v>
      </c>
      <c r="L88" s="14">
        <v>0</v>
      </c>
      <c r="M88" s="8">
        <v>0</v>
      </c>
      <c r="N88" s="8"/>
      <c r="O88" s="23" t="s">
        <v>22</v>
      </c>
      <c r="P88" s="14">
        <f>D88-(F88+H88)*J88-M88-H88*L88</f>
        <v>288</v>
      </c>
      <c r="Q88" s="10">
        <f>P88-I88</f>
        <v>228</v>
      </c>
      <c r="R88" s="26">
        <f>(D88-P88)/D88</f>
        <v>0.9527868852459016</v>
      </c>
      <c r="S88" s="27" t="s">
        <v>487</v>
      </c>
    </row>
    <row r="89" spans="1:19" ht="24.9" customHeight="1" x14ac:dyDescent="0.25">
      <c r="A89" s="8">
        <v>87</v>
      </c>
      <c r="B89" s="4" t="s">
        <v>13</v>
      </c>
      <c r="C89" s="21" t="s">
        <v>357</v>
      </c>
      <c r="D89" s="21">
        <v>6300</v>
      </c>
      <c r="E89" s="21" t="s">
        <v>250</v>
      </c>
      <c r="F89" s="13">
        <v>1210</v>
      </c>
      <c r="G89" s="13" t="s">
        <v>563</v>
      </c>
      <c r="H89" s="13">
        <v>3</v>
      </c>
      <c r="I89" s="13">
        <v>60</v>
      </c>
      <c r="J89" s="13">
        <v>5</v>
      </c>
      <c r="K89" s="14" t="s">
        <v>376</v>
      </c>
      <c r="L89" s="14">
        <v>0</v>
      </c>
      <c r="M89" s="8">
        <v>0</v>
      </c>
      <c r="N89" s="8"/>
      <c r="O89" s="23"/>
      <c r="P89" s="14">
        <f>D89-(F89+H89)*J89-M89-H89*L89</f>
        <v>235</v>
      </c>
      <c r="Q89" s="10">
        <f>P89-I89</f>
        <v>175</v>
      </c>
      <c r="R89" s="26">
        <f>(D89-P89)/D89</f>
        <v>0.96269841269841272</v>
      </c>
    </row>
    <row r="90" spans="1:19" ht="24.9" customHeight="1" x14ac:dyDescent="0.25">
      <c r="A90" s="8">
        <v>88</v>
      </c>
      <c r="B90" s="4" t="s">
        <v>341</v>
      </c>
      <c r="C90" s="21" t="s">
        <v>357</v>
      </c>
      <c r="D90" s="21">
        <v>6300</v>
      </c>
      <c r="E90" s="21" t="s">
        <v>250</v>
      </c>
      <c r="F90" s="13">
        <v>1220</v>
      </c>
      <c r="G90" s="13" t="s">
        <v>563</v>
      </c>
      <c r="H90" s="13">
        <v>3</v>
      </c>
      <c r="I90" s="13">
        <v>60</v>
      </c>
      <c r="J90" s="8">
        <v>5</v>
      </c>
      <c r="K90" s="14" t="s">
        <v>251</v>
      </c>
      <c r="L90" s="14">
        <v>0</v>
      </c>
      <c r="M90" s="8">
        <v>0</v>
      </c>
      <c r="N90" s="8"/>
      <c r="O90" s="24"/>
      <c r="P90" s="14">
        <f>D90-(F90+H90)*J90-M90-H90*L90</f>
        <v>185</v>
      </c>
      <c r="Q90" s="10">
        <f>P90-I90</f>
        <v>125</v>
      </c>
      <c r="R90" s="26">
        <f>(D90-P90)/D90</f>
        <v>0.97063492063492063</v>
      </c>
    </row>
    <row r="91" spans="1:19" ht="24.9" customHeight="1" x14ac:dyDescent="0.25">
      <c r="A91" s="8">
        <v>89</v>
      </c>
      <c r="B91" s="4" t="s">
        <v>16</v>
      </c>
      <c r="C91" s="21" t="s">
        <v>357</v>
      </c>
      <c r="D91" s="21">
        <v>6300</v>
      </c>
      <c r="E91" s="21" t="s">
        <v>250</v>
      </c>
      <c r="F91" s="13">
        <v>1240</v>
      </c>
      <c r="G91" s="13" t="s">
        <v>563</v>
      </c>
      <c r="H91" s="13">
        <v>3</v>
      </c>
      <c r="I91" s="13">
        <v>60</v>
      </c>
      <c r="J91" s="8">
        <v>5</v>
      </c>
      <c r="K91" s="14" t="s">
        <v>251</v>
      </c>
      <c r="L91" s="14">
        <v>0</v>
      </c>
      <c r="M91" s="8">
        <v>0</v>
      </c>
      <c r="N91" s="8"/>
      <c r="O91" s="24"/>
      <c r="P91" s="14">
        <f>D91-(F91+H91)*J91-M91-H91*L91</f>
        <v>85</v>
      </c>
      <c r="Q91" s="10">
        <f>P91-I91</f>
        <v>25</v>
      </c>
      <c r="R91" s="26">
        <f>(D91-P91)/D91</f>
        <v>0.98650793650793656</v>
      </c>
    </row>
    <row r="92" spans="1:19" ht="24.9" customHeight="1" x14ac:dyDescent="0.25">
      <c r="A92" s="8">
        <v>90</v>
      </c>
      <c r="B92" s="4" t="s">
        <v>48</v>
      </c>
      <c r="C92" s="13" t="s">
        <v>357</v>
      </c>
      <c r="D92" s="13">
        <v>6100</v>
      </c>
      <c r="E92" s="13" t="s">
        <v>250</v>
      </c>
      <c r="F92" s="13">
        <v>1000</v>
      </c>
      <c r="G92" s="13" t="s">
        <v>563</v>
      </c>
      <c r="H92" s="13">
        <v>3</v>
      </c>
      <c r="I92" s="13">
        <v>60</v>
      </c>
      <c r="J92" s="8">
        <v>6</v>
      </c>
      <c r="K92" s="14" t="s">
        <v>251</v>
      </c>
      <c r="L92" s="14">
        <v>0</v>
      </c>
      <c r="M92" s="8">
        <v>0</v>
      </c>
      <c r="N92" s="8"/>
      <c r="O92" s="23"/>
      <c r="P92" s="14">
        <f>D92-(F92+H92)*J92-M92-H92*L92</f>
        <v>82</v>
      </c>
      <c r="Q92" s="10">
        <f>P92-I92</f>
        <v>22</v>
      </c>
      <c r="R92" s="26">
        <f>(D92-P92)/D92</f>
        <v>0.98655737704918034</v>
      </c>
    </row>
    <row r="93" spans="1:19" ht="24.9" customHeight="1" x14ac:dyDescent="0.25">
      <c r="A93" s="8">
        <v>91</v>
      </c>
      <c r="B93" s="6" t="s">
        <v>320</v>
      </c>
      <c r="C93" s="21" t="s">
        <v>357</v>
      </c>
      <c r="D93" s="21">
        <v>6300</v>
      </c>
      <c r="E93" s="21" t="s">
        <v>250</v>
      </c>
      <c r="F93" s="13">
        <v>1010</v>
      </c>
      <c r="G93" s="13" t="s">
        <v>563</v>
      </c>
      <c r="H93" s="13">
        <v>3</v>
      </c>
      <c r="I93" s="13">
        <v>60</v>
      </c>
      <c r="J93" s="8">
        <v>6</v>
      </c>
      <c r="K93" s="14" t="s">
        <v>376</v>
      </c>
      <c r="L93" s="14">
        <v>0</v>
      </c>
      <c r="M93" s="8">
        <v>0</v>
      </c>
      <c r="N93" s="8"/>
      <c r="O93" s="23"/>
      <c r="P93" s="14">
        <f>D93-(F93+H93)*J93-M93-H93*L93</f>
        <v>222</v>
      </c>
      <c r="Q93" s="10">
        <f>P93-I93</f>
        <v>162</v>
      </c>
      <c r="R93" s="26">
        <f>(D93-P93)/D93</f>
        <v>0.96476190476190471</v>
      </c>
    </row>
    <row r="94" spans="1:19" ht="24.9" customHeight="1" x14ac:dyDescent="0.25">
      <c r="A94" s="8">
        <v>92</v>
      </c>
      <c r="B94" s="9" t="s">
        <v>252</v>
      </c>
      <c r="C94" s="21" t="s">
        <v>357</v>
      </c>
      <c r="D94" s="21">
        <v>6100</v>
      </c>
      <c r="E94" s="21" t="s">
        <v>250</v>
      </c>
      <c r="F94" s="8">
        <v>659</v>
      </c>
      <c r="G94" s="8" t="s">
        <v>563</v>
      </c>
      <c r="H94" s="13">
        <v>3</v>
      </c>
      <c r="I94" s="13">
        <v>60</v>
      </c>
      <c r="J94" s="8">
        <v>9</v>
      </c>
      <c r="K94" s="14" t="s">
        <v>251</v>
      </c>
      <c r="L94" s="14">
        <v>0</v>
      </c>
      <c r="M94" s="8">
        <v>0</v>
      </c>
      <c r="N94" s="8"/>
      <c r="O94" s="23"/>
      <c r="P94" s="14">
        <f>D94-(F94+H94)*J94-M94-H94*L94</f>
        <v>142</v>
      </c>
      <c r="Q94" s="10">
        <f>P94-I94</f>
        <v>82</v>
      </c>
      <c r="R94" s="26">
        <f>(D94-P94)/D94</f>
        <v>0.97672131147540986</v>
      </c>
    </row>
    <row r="95" spans="1:19" ht="24.9" customHeight="1" x14ac:dyDescent="0.25">
      <c r="A95" s="8">
        <v>93</v>
      </c>
      <c r="B95" s="6" t="s">
        <v>50</v>
      </c>
      <c r="C95" s="21" t="s">
        <v>357</v>
      </c>
      <c r="D95" s="21">
        <v>6100</v>
      </c>
      <c r="E95" s="21" t="s">
        <v>250</v>
      </c>
      <c r="F95" s="13">
        <v>1195</v>
      </c>
      <c r="G95" s="13" t="s">
        <v>563</v>
      </c>
      <c r="H95" s="13">
        <v>3</v>
      </c>
      <c r="I95" s="13">
        <v>60</v>
      </c>
      <c r="J95" s="8">
        <v>5</v>
      </c>
      <c r="K95" s="14" t="s">
        <v>251</v>
      </c>
      <c r="L95" s="14">
        <v>0</v>
      </c>
      <c r="M95" s="8">
        <v>0</v>
      </c>
      <c r="N95" s="8"/>
      <c r="O95" s="23"/>
      <c r="P95" s="14">
        <f>D95-(F95+H95)*J95-M95-H95*L95</f>
        <v>110</v>
      </c>
      <c r="Q95" s="10">
        <f>P95-I95</f>
        <v>50</v>
      </c>
      <c r="R95" s="26">
        <f>(D95-P95)/D95</f>
        <v>0.9819672131147541</v>
      </c>
    </row>
    <row r="96" spans="1:19" ht="24.9" customHeight="1" x14ac:dyDescent="0.25">
      <c r="A96" s="8">
        <v>94</v>
      </c>
      <c r="B96" s="4" t="s">
        <v>51</v>
      </c>
      <c r="C96" s="21" t="s">
        <v>357</v>
      </c>
      <c r="D96" s="21">
        <v>6300</v>
      </c>
      <c r="E96" s="21" t="s">
        <v>250</v>
      </c>
      <c r="F96" s="13">
        <v>1010</v>
      </c>
      <c r="G96" s="13" t="s">
        <v>563</v>
      </c>
      <c r="H96" s="13">
        <v>3</v>
      </c>
      <c r="I96" s="13">
        <v>60</v>
      </c>
      <c r="J96" s="8">
        <v>6</v>
      </c>
      <c r="K96" s="14" t="s">
        <v>376</v>
      </c>
      <c r="L96" s="14">
        <v>0</v>
      </c>
      <c r="M96" s="8">
        <v>0</v>
      </c>
      <c r="N96" s="8"/>
      <c r="O96" s="23"/>
      <c r="P96" s="14">
        <f>D96-(F96+H96)*J96-M96-H96*L96</f>
        <v>222</v>
      </c>
      <c r="Q96" s="10">
        <f>P96-I96</f>
        <v>162</v>
      </c>
      <c r="R96" s="26">
        <f>(D96-P96)/D96</f>
        <v>0.96476190476190471</v>
      </c>
    </row>
    <row r="97" spans="1:19" ht="24.9" customHeight="1" x14ac:dyDescent="0.25">
      <c r="A97" s="8">
        <v>95</v>
      </c>
      <c r="B97" s="4" t="s">
        <v>54</v>
      </c>
      <c r="C97" s="21" t="s">
        <v>357</v>
      </c>
      <c r="D97" s="21">
        <v>6300</v>
      </c>
      <c r="E97" s="21" t="s">
        <v>250</v>
      </c>
      <c r="F97" s="13">
        <v>1035</v>
      </c>
      <c r="G97" s="13" t="s">
        <v>563</v>
      </c>
      <c r="H97" s="13">
        <v>3</v>
      </c>
      <c r="I97" s="13">
        <v>60</v>
      </c>
      <c r="J97" s="8">
        <v>6</v>
      </c>
      <c r="K97" s="14" t="s">
        <v>251</v>
      </c>
      <c r="L97" s="14">
        <v>0</v>
      </c>
      <c r="M97" s="8">
        <v>0</v>
      </c>
      <c r="N97" s="8"/>
      <c r="O97" s="23"/>
      <c r="P97" s="14">
        <f>D97-(F97+H97)*J97-M97-H97*L97</f>
        <v>72</v>
      </c>
      <c r="Q97" s="10">
        <f>P97-I97</f>
        <v>12</v>
      </c>
      <c r="R97" s="26">
        <f>(D97-P97)/D97</f>
        <v>0.98857142857142855</v>
      </c>
    </row>
    <row r="98" spans="1:19" ht="24.9" customHeight="1" x14ac:dyDescent="0.25">
      <c r="A98" s="8">
        <v>96</v>
      </c>
      <c r="B98" s="4" t="s">
        <v>136</v>
      </c>
      <c r="C98" s="21" t="s">
        <v>357</v>
      </c>
      <c r="D98" s="21">
        <v>6300</v>
      </c>
      <c r="E98" s="21" t="s">
        <v>250</v>
      </c>
      <c r="F98" s="13">
        <v>1023</v>
      </c>
      <c r="G98" s="13" t="s">
        <v>563</v>
      </c>
      <c r="H98" s="13">
        <v>3</v>
      </c>
      <c r="I98" s="13">
        <v>60</v>
      </c>
      <c r="J98" s="8">
        <v>6</v>
      </c>
      <c r="K98" s="14" t="s">
        <v>251</v>
      </c>
      <c r="L98" s="14">
        <v>0</v>
      </c>
      <c r="M98" s="8">
        <v>0</v>
      </c>
      <c r="N98" s="8"/>
      <c r="O98" s="23"/>
      <c r="P98" s="14">
        <f>D98-(F98+H98)*J98-M98-H98*L98</f>
        <v>144</v>
      </c>
      <c r="Q98" s="10">
        <f>P98-I98</f>
        <v>84</v>
      </c>
      <c r="R98" s="26">
        <f>(D98-P98)/D98</f>
        <v>0.97714285714285709</v>
      </c>
    </row>
    <row r="99" spans="1:19" ht="24.9" customHeight="1" x14ac:dyDescent="0.25">
      <c r="A99" s="8">
        <v>97</v>
      </c>
      <c r="B99" s="4" t="s">
        <v>143</v>
      </c>
      <c r="C99" s="21" t="s">
        <v>357</v>
      </c>
      <c r="D99" s="21">
        <v>6300</v>
      </c>
      <c r="E99" s="21" t="s">
        <v>250</v>
      </c>
      <c r="F99" s="13">
        <v>876</v>
      </c>
      <c r="G99" s="13" t="s">
        <v>563</v>
      </c>
      <c r="H99" s="13">
        <v>3</v>
      </c>
      <c r="I99" s="13">
        <v>60</v>
      </c>
      <c r="J99" s="8">
        <v>7</v>
      </c>
      <c r="K99" s="14" t="s">
        <v>251</v>
      </c>
      <c r="L99" s="14">
        <v>0</v>
      </c>
      <c r="M99" s="8">
        <v>0</v>
      </c>
      <c r="N99" s="8"/>
      <c r="O99" s="23"/>
      <c r="P99" s="14">
        <f>D99-(F99+H99)*J99-M99-H99*L99</f>
        <v>147</v>
      </c>
      <c r="Q99" s="10">
        <f>P99-I99</f>
        <v>87</v>
      </c>
      <c r="R99" s="26">
        <f>(D99-P99)/D99</f>
        <v>0.97666666666666668</v>
      </c>
    </row>
    <row r="100" spans="1:19" ht="24.9" customHeight="1" x14ac:dyDescent="0.25">
      <c r="A100" s="8">
        <v>98</v>
      </c>
      <c r="B100" s="4" t="s">
        <v>144</v>
      </c>
      <c r="C100" s="21" t="s">
        <v>357</v>
      </c>
      <c r="D100" s="21">
        <v>6300</v>
      </c>
      <c r="E100" s="21" t="s">
        <v>250</v>
      </c>
      <c r="F100" s="13">
        <v>1208</v>
      </c>
      <c r="G100" s="13" t="s">
        <v>563</v>
      </c>
      <c r="H100" s="13">
        <v>3</v>
      </c>
      <c r="I100" s="13">
        <v>60</v>
      </c>
      <c r="J100" s="8">
        <v>5</v>
      </c>
      <c r="K100" s="14" t="s">
        <v>251</v>
      </c>
      <c r="L100" s="14">
        <v>0</v>
      </c>
      <c r="M100" s="8">
        <v>0</v>
      </c>
      <c r="N100" s="8"/>
      <c r="O100" s="23"/>
      <c r="P100" s="14">
        <f>D100-(F100+H100)*J100-M100-H100*L100</f>
        <v>245</v>
      </c>
      <c r="Q100" s="10">
        <f>P100-I100</f>
        <v>185</v>
      </c>
      <c r="R100" s="26">
        <f>(D100-P100)/D100</f>
        <v>0.96111111111111114</v>
      </c>
    </row>
    <row r="101" spans="1:19" ht="24.9" customHeight="1" x14ac:dyDescent="0.25">
      <c r="A101" s="8">
        <v>99</v>
      </c>
      <c r="B101" s="4" t="s">
        <v>145</v>
      </c>
      <c r="C101" s="21" t="s">
        <v>357</v>
      </c>
      <c r="D101" s="21">
        <v>6300</v>
      </c>
      <c r="E101" s="21" t="s">
        <v>250</v>
      </c>
      <c r="F101" s="13">
        <v>869</v>
      </c>
      <c r="G101" s="13" t="s">
        <v>563</v>
      </c>
      <c r="H101" s="13">
        <v>3</v>
      </c>
      <c r="I101" s="13">
        <v>60</v>
      </c>
      <c r="J101" s="8">
        <v>7</v>
      </c>
      <c r="K101" s="14" t="s">
        <v>251</v>
      </c>
      <c r="L101" s="14">
        <v>0</v>
      </c>
      <c r="M101" s="8">
        <v>0</v>
      </c>
      <c r="N101" s="8"/>
      <c r="O101" s="23"/>
      <c r="P101" s="14">
        <f>D101-(F101+H101)*J101-M101-H101*L101</f>
        <v>196</v>
      </c>
      <c r="Q101" s="10">
        <f>P101-I101</f>
        <v>136</v>
      </c>
      <c r="R101" s="26">
        <f>(D101-P101)/D101</f>
        <v>0.96888888888888891</v>
      </c>
    </row>
    <row r="102" spans="1:19" ht="24.9" customHeight="1" x14ac:dyDescent="0.25">
      <c r="A102" s="8">
        <v>100</v>
      </c>
      <c r="B102" s="4" t="s">
        <v>7</v>
      </c>
      <c r="C102" s="21" t="s">
        <v>357</v>
      </c>
      <c r="D102" s="21">
        <v>6300</v>
      </c>
      <c r="E102" s="21" t="s">
        <v>250</v>
      </c>
      <c r="F102" s="8">
        <v>1260</v>
      </c>
      <c r="G102" s="8" t="s">
        <v>563</v>
      </c>
      <c r="H102" s="8">
        <v>3</v>
      </c>
      <c r="I102" s="13">
        <v>60</v>
      </c>
      <c r="J102" s="8">
        <v>4</v>
      </c>
      <c r="K102" s="28" t="s">
        <v>570</v>
      </c>
      <c r="L102" s="14">
        <v>1</v>
      </c>
      <c r="M102" s="8">
        <v>1010</v>
      </c>
      <c r="N102" s="8" t="s">
        <v>563</v>
      </c>
      <c r="O102" s="24"/>
      <c r="P102" s="14">
        <f>D102-(F102+H102)*J102-M102-H102*L102</f>
        <v>235</v>
      </c>
      <c r="Q102" s="10">
        <f>P102-I102</f>
        <v>175</v>
      </c>
      <c r="R102" s="26">
        <f>(D102-P102)/D102</f>
        <v>0.96269841269841272</v>
      </c>
    </row>
    <row r="103" spans="1:19" ht="24.9" customHeight="1" x14ac:dyDescent="0.25">
      <c r="A103" s="8">
        <v>101</v>
      </c>
      <c r="B103" s="4" t="s">
        <v>84</v>
      </c>
      <c r="C103" s="21" t="s">
        <v>357</v>
      </c>
      <c r="D103" s="21">
        <v>6300</v>
      </c>
      <c r="E103" s="21" t="s">
        <v>250</v>
      </c>
      <c r="F103" s="13">
        <v>1260</v>
      </c>
      <c r="G103" s="13" t="s">
        <v>563</v>
      </c>
      <c r="H103" s="13">
        <v>3</v>
      </c>
      <c r="I103" s="13">
        <v>60</v>
      </c>
      <c r="J103" s="8">
        <v>4</v>
      </c>
      <c r="K103" s="28" t="s">
        <v>570</v>
      </c>
      <c r="L103" s="14">
        <v>1</v>
      </c>
      <c r="M103" s="8">
        <v>1010</v>
      </c>
      <c r="N103" s="8" t="s">
        <v>563</v>
      </c>
      <c r="O103" s="23"/>
      <c r="P103" s="14">
        <f>D103-(F103+H103)*J103-M103-H103*L103</f>
        <v>235</v>
      </c>
      <c r="Q103" s="10">
        <f>P103-I103</f>
        <v>175</v>
      </c>
      <c r="R103" s="26">
        <f>(D103-P103)/D103</f>
        <v>0.96269841269841272</v>
      </c>
    </row>
    <row r="104" spans="1:19" ht="24.9" customHeight="1" x14ac:dyDescent="0.25">
      <c r="A104" s="8">
        <v>102</v>
      </c>
      <c r="B104" s="4" t="s">
        <v>73</v>
      </c>
      <c r="C104" s="21" t="s">
        <v>357</v>
      </c>
      <c r="D104" s="21">
        <v>6300</v>
      </c>
      <c r="E104" s="21" t="s">
        <v>250</v>
      </c>
      <c r="F104" s="13">
        <v>1300</v>
      </c>
      <c r="G104" s="13" t="s">
        <v>563</v>
      </c>
      <c r="H104" s="13">
        <v>3</v>
      </c>
      <c r="I104" s="13">
        <v>60</v>
      </c>
      <c r="J104" s="8">
        <v>4</v>
      </c>
      <c r="K104" s="28" t="s">
        <v>570</v>
      </c>
      <c r="L104" s="14">
        <v>1</v>
      </c>
      <c r="M104" s="8">
        <v>1010</v>
      </c>
      <c r="N104" s="8" t="s">
        <v>563</v>
      </c>
      <c r="O104" s="23"/>
      <c r="P104" s="14">
        <f>D104-(F104+H104)*J104-M104-H104*L104</f>
        <v>75</v>
      </c>
      <c r="Q104" s="10">
        <f>P104-I104</f>
        <v>15</v>
      </c>
      <c r="R104" s="26">
        <f>(D104-P104)/D104</f>
        <v>0.98809523809523814</v>
      </c>
    </row>
    <row r="105" spans="1:19" ht="24.9" customHeight="1" x14ac:dyDescent="0.25">
      <c r="A105" s="8">
        <v>103</v>
      </c>
      <c r="B105" s="4" t="s">
        <v>8</v>
      </c>
      <c r="C105" s="21" t="s">
        <v>357</v>
      </c>
      <c r="D105" s="21">
        <v>6300</v>
      </c>
      <c r="E105" s="21" t="s">
        <v>250</v>
      </c>
      <c r="F105" s="13">
        <v>1300</v>
      </c>
      <c r="G105" s="13" t="s">
        <v>563</v>
      </c>
      <c r="H105" s="13">
        <v>3</v>
      </c>
      <c r="I105" s="13">
        <v>60</v>
      </c>
      <c r="J105" s="8">
        <v>4</v>
      </c>
      <c r="K105" s="14" t="s">
        <v>570</v>
      </c>
      <c r="L105" s="14">
        <v>1</v>
      </c>
      <c r="M105" s="8">
        <v>1010</v>
      </c>
      <c r="N105" s="8" t="s">
        <v>563</v>
      </c>
      <c r="O105" s="23" t="s">
        <v>364</v>
      </c>
      <c r="P105" s="14">
        <f>D105-(F105+H105)*J105-M105-H105*L105</f>
        <v>75</v>
      </c>
      <c r="Q105" s="10">
        <f>P105-I105</f>
        <v>15</v>
      </c>
      <c r="R105" s="26">
        <f>(D105-P105)/D105</f>
        <v>0.98809523809523814</v>
      </c>
    </row>
    <row r="106" spans="1:19" ht="24.9" customHeight="1" x14ac:dyDescent="0.25">
      <c r="A106" s="8">
        <v>104</v>
      </c>
      <c r="B106" s="4" t="s">
        <v>124</v>
      </c>
      <c r="C106" s="21" t="s">
        <v>357</v>
      </c>
      <c r="D106" s="21">
        <v>6300</v>
      </c>
      <c r="E106" s="21" t="s">
        <v>250</v>
      </c>
      <c r="F106" s="13">
        <v>1275</v>
      </c>
      <c r="G106" s="13" t="s">
        <v>563</v>
      </c>
      <c r="H106" s="13">
        <v>3</v>
      </c>
      <c r="I106" s="13">
        <v>60</v>
      </c>
      <c r="J106" s="8">
        <v>4</v>
      </c>
      <c r="K106" s="28" t="s">
        <v>570</v>
      </c>
      <c r="L106" s="14">
        <v>1</v>
      </c>
      <c r="M106" s="8">
        <v>1010</v>
      </c>
      <c r="N106" s="8" t="s">
        <v>563</v>
      </c>
      <c r="O106" s="23"/>
      <c r="P106" s="14">
        <f>D106-(F106+H106)*J106-M106-H106*L106</f>
        <v>175</v>
      </c>
      <c r="Q106" s="10">
        <f>P106-I106</f>
        <v>115</v>
      </c>
      <c r="R106" s="26">
        <f>(D106-P106)/D106</f>
        <v>0.97222222222222221</v>
      </c>
      <c r="S106" s="44" t="s">
        <v>458</v>
      </c>
    </row>
    <row r="107" spans="1:19" ht="24.9" customHeight="1" x14ac:dyDescent="0.25">
      <c r="A107" s="8">
        <v>105</v>
      </c>
      <c r="B107" s="4" t="s">
        <v>169</v>
      </c>
      <c r="C107" s="21" t="s">
        <v>357</v>
      </c>
      <c r="D107" s="21">
        <v>6300</v>
      </c>
      <c r="E107" s="21" t="s">
        <v>250</v>
      </c>
      <c r="F107" s="13">
        <v>1235</v>
      </c>
      <c r="G107" s="13" t="s">
        <v>563</v>
      </c>
      <c r="H107" s="13">
        <v>3</v>
      </c>
      <c r="I107" s="13">
        <v>60</v>
      </c>
      <c r="J107" s="8">
        <v>5</v>
      </c>
      <c r="K107" s="14" t="s">
        <v>251</v>
      </c>
      <c r="L107" s="14">
        <v>0</v>
      </c>
      <c r="M107" s="8">
        <v>0</v>
      </c>
      <c r="N107" s="8"/>
      <c r="O107" s="23"/>
      <c r="P107" s="14">
        <f>D107-(F107+H107)*J107-M107-H107*L107</f>
        <v>110</v>
      </c>
      <c r="Q107" s="10">
        <f>P107-I107</f>
        <v>50</v>
      </c>
      <c r="R107" s="26">
        <f>(D107-P107)/D107</f>
        <v>0.98253968253968249</v>
      </c>
      <c r="S107" s="27" t="s">
        <v>408</v>
      </c>
    </row>
    <row r="108" spans="1:19" ht="24.9" customHeight="1" x14ac:dyDescent="0.25">
      <c r="A108" s="8">
        <v>106</v>
      </c>
      <c r="B108" s="19" t="s">
        <v>187</v>
      </c>
      <c r="C108" s="21" t="s">
        <v>357</v>
      </c>
      <c r="D108" s="21">
        <v>6300</v>
      </c>
      <c r="E108" s="21" t="s">
        <v>250</v>
      </c>
      <c r="F108" s="8">
        <v>877</v>
      </c>
      <c r="G108" s="8" t="s">
        <v>563</v>
      </c>
      <c r="H108" s="13">
        <v>3</v>
      </c>
      <c r="I108" s="13">
        <v>60</v>
      </c>
      <c r="J108" s="8">
        <v>7</v>
      </c>
      <c r="K108" s="14" t="s">
        <v>251</v>
      </c>
      <c r="L108" s="14">
        <v>0</v>
      </c>
      <c r="M108" s="8">
        <v>0</v>
      </c>
      <c r="N108" s="8"/>
      <c r="O108" s="23" t="s">
        <v>22</v>
      </c>
      <c r="P108" s="14">
        <f>D108-(F108+H108)*J108-M108-H108*L108</f>
        <v>140</v>
      </c>
      <c r="Q108" s="10">
        <f>P108-I108</f>
        <v>80</v>
      </c>
      <c r="R108" s="26">
        <f>(D108-P108)/D108</f>
        <v>0.97777777777777775</v>
      </c>
    </row>
    <row r="109" spans="1:19" ht="24.9" customHeight="1" x14ac:dyDescent="0.25">
      <c r="A109" s="8">
        <v>107</v>
      </c>
      <c r="B109" s="19" t="s">
        <v>191</v>
      </c>
      <c r="C109" s="13" t="s">
        <v>357</v>
      </c>
      <c r="D109" s="13">
        <v>6300</v>
      </c>
      <c r="E109" s="13" t="s">
        <v>250</v>
      </c>
      <c r="F109" s="8">
        <v>635.5</v>
      </c>
      <c r="G109" s="8" t="s">
        <v>563</v>
      </c>
      <c r="H109" s="8">
        <v>3</v>
      </c>
      <c r="I109" s="13">
        <v>60</v>
      </c>
      <c r="J109" s="8">
        <v>8</v>
      </c>
      <c r="K109" s="10" t="s">
        <v>399</v>
      </c>
      <c r="L109" s="14">
        <v>1</v>
      </c>
      <c r="M109" s="8">
        <v>1010</v>
      </c>
      <c r="N109" s="8" t="s">
        <v>563</v>
      </c>
      <c r="O109" s="23" t="s">
        <v>22</v>
      </c>
      <c r="P109" s="14">
        <f>D109-(F109+H109)*J109-M109-H109*L109</f>
        <v>179</v>
      </c>
      <c r="Q109" s="10">
        <f>P109-I109</f>
        <v>119</v>
      </c>
      <c r="R109" s="26">
        <f>(D109-P109)/D109</f>
        <v>0.97158730158730156</v>
      </c>
    </row>
    <row r="110" spans="1:19" ht="24.9" customHeight="1" x14ac:dyDescent="0.25">
      <c r="A110" s="8">
        <v>108</v>
      </c>
      <c r="B110" s="19" t="s">
        <v>192</v>
      </c>
      <c r="C110" s="13" t="s">
        <v>357</v>
      </c>
      <c r="D110" s="13">
        <v>6300</v>
      </c>
      <c r="E110" s="13" t="s">
        <v>250</v>
      </c>
      <c r="F110" s="8">
        <v>500.5</v>
      </c>
      <c r="G110" s="8" t="s">
        <v>563</v>
      </c>
      <c r="H110" s="13">
        <v>3</v>
      </c>
      <c r="I110" s="13">
        <v>60</v>
      </c>
      <c r="J110" s="8">
        <v>12</v>
      </c>
      <c r="K110" s="14" t="s">
        <v>376</v>
      </c>
      <c r="L110" s="14">
        <v>0</v>
      </c>
      <c r="M110" s="8">
        <v>0</v>
      </c>
      <c r="N110" s="8"/>
      <c r="O110" s="23" t="s">
        <v>22</v>
      </c>
      <c r="P110" s="14">
        <f>D110-(F110+H110)*J110-M110-H110*L110</f>
        <v>258</v>
      </c>
      <c r="Q110" s="10">
        <f>P110-I110</f>
        <v>198</v>
      </c>
      <c r="R110" s="26">
        <f>(D110-P110)/D110</f>
        <v>0.95904761904761904</v>
      </c>
    </row>
    <row r="111" spans="1:19" ht="24.9" customHeight="1" x14ac:dyDescent="0.25">
      <c r="A111" s="8">
        <v>109</v>
      </c>
      <c r="B111" s="9" t="s">
        <v>29</v>
      </c>
      <c r="C111" s="21" t="s">
        <v>357</v>
      </c>
      <c r="D111" s="21">
        <v>6300</v>
      </c>
      <c r="E111" s="21" t="s">
        <v>250</v>
      </c>
      <c r="F111" s="13">
        <v>679</v>
      </c>
      <c r="G111" s="13" t="s">
        <v>563</v>
      </c>
      <c r="H111" s="13">
        <v>3</v>
      </c>
      <c r="I111" s="13">
        <v>60</v>
      </c>
      <c r="J111" s="8">
        <v>9</v>
      </c>
      <c r="K111" s="14" t="s">
        <v>251</v>
      </c>
      <c r="L111" s="14">
        <v>0</v>
      </c>
      <c r="M111" s="8">
        <v>0</v>
      </c>
      <c r="N111" s="8"/>
      <c r="O111" s="23" t="s">
        <v>22</v>
      </c>
      <c r="P111" s="14">
        <f>D111-(F111+H111)*J111-M111-H111*L111</f>
        <v>162</v>
      </c>
      <c r="Q111" s="10">
        <f>P111-I111</f>
        <v>102</v>
      </c>
      <c r="R111" s="26">
        <f>(D111-P111)/D111</f>
        <v>0.97428571428571431</v>
      </c>
    </row>
    <row r="112" spans="1:19" ht="24.9" customHeight="1" x14ac:dyDescent="0.25">
      <c r="A112" s="8">
        <v>110</v>
      </c>
      <c r="B112" s="6" t="s">
        <v>100</v>
      </c>
      <c r="C112" s="21" t="s">
        <v>357</v>
      </c>
      <c r="D112" s="21">
        <v>6300</v>
      </c>
      <c r="E112" s="21" t="s">
        <v>250</v>
      </c>
      <c r="F112" s="13">
        <v>677.5</v>
      </c>
      <c r="G112" s="13" t="s">
        <v>563</v>
      </c>
      <c r="H112" s="13">
        <v>3</v>
      </c>
      <c r="I112" s="13">
        <v>60</v>
      </c>
      <c r="J112" s="8">
        <v>9</v>
      </c>
      <c r="K112" s="14" t="s">
        <v>251</v>
      </c>
      <c r="L112" s="14">
        <v>0</v>
      </c>
      <c r="M112" s="8">
        <v>0</v>
      </c>
      <c r="N112" s="8"/>
      <c r="O112" s="23" t="s">
        <v>22</v>
      </c>
      <c r="P112" s="14">
        <f>D112-(F112+H112)*J112-M112-H112*L112</f>
        <v>175.5</v>
      </c>
      <c r="Q112" s="10">
        <f>P112-I112</f>
        <v>115.5</v>
      </c>
      <c r="R112" s="26">
        <f>(D112-P112)/D112</f>
        <v>0.9721428571428572</v>
      </c>
    </row>
    <row r="113" spans="1:19" ht="24.9" customHeight="1" x14ac:dyDescent="0.25">
      <c r="A113" s="8">
        <v>111</v>
      </c>
      <c r="B113" s="6" t="s">
        <v>105</v>
      </c>
      <c r="C113" s="21" t="s">
        <v>357</v>
      </c>
      <c r="D113" s="21">
        <v>6300</v>
      </c>
      <c r="E113" s="21" t="s">
        <v>250</v>
      </c>
      <c r="F113" s="13">
        <v>690</v>
      </c>
      <c r="G113" s="13" t="s">
        <v>563</v>
      </c>
      <c r="H113" s="13">
        <v>3</v>
      </c>
      <c r="I113" s="13">
        <v>60</v>
      </c>
      <c r="J113" s="8">
        <v>9</v>
      </c>
      <c r="K113" s="14" t="s">
        <v>251</v>
      </c>
      <c r="L113" s="14">
        <v>0</v>
      </c>
      <c r="M113" s="8">
        <v>0</v>
      </c>
      <c r="N113" s="8"/>
      <c r="O113" s="23" t="s">
        <v>22</v>
      </c>
      <c r="P113" s="14">
        <f>D113-(F113+H113)*J113-M113-H113*L113</f>
        <v>63</v>
      </c>
      <c r="Q113" s="10">
        <f>P113-I113</f>
        <v>3</v>
      </c>
      <c r="R113" s="26">
        <f>(D113-P113)/D113</f>
        <v>0.99</v>
      </c>
    </row>
    <row r="114" spans="1:19" ht="24.9" customHeight="1" x14ac:dyDescent="0.25">
      <c r="A114" s="8">
        <v>112</v>
      </c>
      <c r="B114" s="4" t="s">
        <v>130</v>
      </c>
      <c r="C114" s="21" t="s">
        <v>357</v>
      </c>
      <c r="D114" s="21">
        <v>6300</v>
      </c>
      <c r="E114" s="21" t="s">
        <v>250</v>
      </c>
      <c r="F114" s="13">
        <v>635.5</v>
      </c>
      <c r="G114" s="13" t="s">
        <v>563</v>
      </c>
      <c r="H114" s="13">
        <v>3</v>
      </c>
      <c r="I114" s="13">
        <v>60</v>
      </c>
      <c r="J114" s="8">
        <v>8</v>
      </c>
      <c r="K114" s="14" t="s">
        <v>570</v>
      </c>
      <c r="L114" s="14">
        <v>1</v>
      </c>
      <c r="M114" s="8">
        <v>1010</v>
      </c>
      <c r="N114" s="8" t="s">
        <v>563</v>
      </c>
      <c r="O114" s="23" t="s">
        <v>22</v>
      </c>
      <c r="P114" s="14">
        <f>D114-(F114+H114)*J114-M114-H114*L114</f>
        <v>179</v>
      </c>
      <c r="Q114" s="10">
        <f>P114-I114</f>
        <v>119</v>
      </c>
      <c r="R114" s="26">
        <f>(D114-P114)/D114</f>
        <v>0.97158730158730156</v>
      </c>
    </row>
    <row r="115" spans="1:19" ht="24.9" customHeight="1" x14ac:dyDescent="0.25">
      <c r="A115" s="8">
        <v>113</v>
      </c>
      <c r="B115" s="9" t="s">
        <v>33</v>
      </c>
      <c r="C115" s="21" t="s">
        <v>357</v>
      </c>
      <c r="D115" s="21">
        <v>6300</v>
      </c>
      <c r="E115" s="21" t="s">
        <v>250</v>
      </c>
      <c r="F115" s="13">
        <v>670.5</v>
      </c>
      <c r="G115" s="13" t="s">
        <v>563</v>
      </c>
      <c r="H115" s="13">
        <v>3</v>
      </c>
      <c r="I115" s="13">
        <v>60</v>
      </c>
      <c r="J115" s="8">
        <v>9</v>
      </c>
      <c r="K115" s="14" t="s">
        <v>376</v>
      </c>
      <c r="L115" s="14">
        <v>0</v>
      </c>
      <c r="M115" s="8">
        <v>0</v>
      </c>
      <c r="N115" s="8"/>
      <c r="O115" s="23" t="s">
        <v>22</v>
      </c>
      <c r="P115" s="14">
        <f>D115-(F115+H115)*J115-M115-H115*L115</f>
        <v>238.5</v>
      </c>
      <c r="Q115" s="10">
        <f>P115-I115</f>
        <v>178.5</v>
      </c>
      <c r="R115" s="26">
        <f>(D115-P115)/D115</f>
        <v>0.96214285714285719</v>
      </c>
    </row>
    <row r="116" spans="1:19" ht="24.9" customHeight="1" x14ac:dyDescent="0.25">
      <c r="A116" s="8">
        <v>114</v>
      </c>
      <c r="B116" s="6" t="s">
        <v>85</v>
      </c>
      <c r="C116" s="21" t="s">
        <v>357</v>
      </c>
      <c r="D116" s="21">
        <v>6300</v>
      </c>
      <c r="E116" s="21" t="s">
        <v>250</v>
      </c>
      <c r="F116" s="13">
        <v>680.5</v>
      </c>
      <c r="G116" s="13" t="s">
        <v>563</v>
      </c>
      <c r="H116" s="13">
        <v>3</v>
      </c>
      <c r="I116" s="13">
        <v>60</v>
      </c>
      <c r="J116" s="8">
        <v>9</v>
      </c>
      <c r="K116" s="14" t="s">
        <v>251</v>
      </c>
      <c r="L116" s="14">
        <v>0</v>
      </c>
      <c r="M116" s="8">
        <v>0</v>
      </c>
      <c r="N116" s="8"/>
      <c r="O116" s="23" t="s">
        <v>22</v>
      </c>
      <c r="P116" s="14">
        <f>D116-(F116+H116)*J116-M116-H116*L116</f>
        <v>148.5</v>
      </c>
      <c r="Q116" s="10">
        <f>P116-I116</f>
        <v>88.5</v>
      </c>
      <c r="R116" s="26">
        <f>(D116-P116)/D116</f>
        <v>0.97642857142857142</v>
      </c>
    </row>
    <row r="117" spans="1:19" ht="24.9" customHeight="1" x14ac:dyDescent="0.25">
      <c r="A117" s="8">
        <v>115</v>
      </c>
      <c r="B117" s="6" t="s">
        <v>88</v>
      </c>
      <c r="C117" s="21" t="s">
        <v>357</v>
      </c>
      <c r="D117" s="21">
        <v>6300</v>
      </c>
      <c r="E117" s="21" t="s">
        <v>250</v>
      </c>
      <c r="F117" s="13">
        <v>612</v>
      </c>
      <c r="G117" s="13" t="s">
        <v>563</v>
      </c>
      <c r="H117" s="13">
        <v>3</v>
      </c>
      <c r="I117" s="13">
        <v>60</v>
      </c>
      <c r="J117" s="8">
        <v>10</v>
      </c>
      <c r="K117" s="14" t="s">
        <v>251</v>
      </c>
      <c r="L117" s="14">
        <v>0</v>
      </c>
      <c r="M117" s="8">
        <v>0</v>
      </c>
      <c r="N117" s="8"/>
      <c r="O117" s="23" t="s">
        <v>22</v>
      </c>
      <c r="P117" s="14">
        <f>D117-(F117+H117)*J117-M117-H117*L117</f>
        <v>150</v>
      </c>
      <c r="Q117" s="10">
        <f>P117-I117</f>
        <v>90</v>
      </c>
      <c r="R117" s="26">
        <f>(D117-P117)/D117</f>
        <v>0.97619047619047616</v>
      </c>
    </row>
    <row r="118" spans="1:19" ht="24.9" customHeight="1" x14ac:dyDescent="0.25">
      <c r="A118" s="8">
        <v>116</v>
      </c>
      <c r="B118" s="6" t="s">
        <v>77</v>
      </c>
      <c r="C118" s="21" t="s">
        <v>357</v>
      </c>
      <c r="D118" s="21">
        <v>6300</v>
      </c>
      <c r="E118" s="21" t="s">
        <v>250</v>
      </c>
      <c r="F118" s="13">
        <v>776.5</v>
      </c>
      <c r="G118" s="13" t="s">
        <v>563</v>
      </c>
      <c r="H118" s="13">
        <v>3</v>
      </c>
      <c r="I118" s="13">
        <v>60</v>
      </c>
      <c r="J118" s="8">
        <v>8</v>
      </c>
      <c r="K118" s="14" t="s">
        <v>251</v>
      </c>
      <c r="L118" s="14">
        <v>0</v>
      </c>
      <c r="M118" s="8">
        <v>0</v>
      </c>
      <c r="N118" s="8"/>
      <c r="O118" s="23" t="s">
        <v>22</v>
      </c>
      <c r="P118" s="14">
        <f>D118-(F118+H118)*J118-M118-H118*L118</f>
        <v>64</v>
      </c>
      <c r="Q118" s="10">
        <f>P118-I118</f>
        <v>4</v>
      </c>
      <c r="R118" s="26">
        <f>(D118-P118)/D118</f>
        <v>0.98984126984126986</v>
      </c>
    </row>
    <row r="119" spans="1:19" ht="24.9" customHeight="1" x14ac:dyDescent="0.25">
      <c r="A119" s="8">
        <v>117</v>
      </c>
      <c r="B119" s="6" t="s">
        <v>80</v>
      </c>
      <c r="C119" s="21" t="s">
        <v>357</v>
      </c>
      <c r="D119" s="21">
        <v>6100</v>
      </c>
      <c r="E119" s="21" t="s">
        <v>250</v>
      </c>
      <c r="F119" s="13">
        <v>601</v>
      </c>
      <c r="G119" s="13" t="s">
        <v>563</v>
      </c>
      <c r="H119" s="13">
        <v>3</v>
      </c>
      <c r="I119" s="13">
        <v>60</v>
      </c>
      <c r="J119" s="8">
        <v>10</v>
      </c>
      <c r="K119" s="14" t="s">
        <v>376</v>
      </c>
      <c r="L119" s="14">
        <v>0</v>
      </c>
      <c r="M119" s="8">
        <v>0</v>
      </c>
      <c r="N119" s="8"/>
      <c r="O119" s="23" t="s">
        <v>22</v>
      </c>
      <c r="P119" s="14">
        <f>D119-(F119+H119)*J119-M119-H119*L119</f>
        <v>60</v>
      </c>
      <c r="Q119" s="10">
        <f>P119-I119</f>
        <v>0</v>
      </c>
      <c r="R119" s="26">
        <f>(D119-P119)/D119</f>
        <v>0.99016393442622952</v>
      </c>
      <c r="S119" s="40" t="s">
        <v>431</v>
      </c>
    </row>
    <row r="120" spans="1:19" ht="24.9" customHeight="1" x14ac:dyDescent="0.25">
      <c r="A120" s="8">
        <v>118</v>
      </c>
      <c r="B120" s="9" t="s">
        <v>195</v>
      </c>
      <c r="C120" s="21" t="s">
        <v>357</v>
      </c>
      <c r="D120" s="21">
        <v>6300</v>
      </c>
      <c r="E120" s="21" t="s">
        <v>250</v>
      </c>
      <c r="F120" s="8">
        <v>502</v>
      </c>
      <c r="G120" s="8" t="s">
        <v>575</v>
      </c>
      <c r="H120" s="13">
        <v>3</v>
      </c>
      <c r="I120" s="13">
        <v>60</v>
      </c>
      <c r="J120" s="8">
        <v>12</v>
      </c>
      <c r="K120" s="14" t="s">
        <v>251</v>
      </c>
      <c r="L120" s="14">
        <v>0</v>
      </c>
      <c r="M120" s="8">
        <v>0</v>
      </c>
      <c r="N120" s="8"/>
      <c r="O120" s="23" t="s">
        <v>22</v>
      </c>
      <c r="P120" s="14">
        <f>D120-(F120+H120)*J120-M120-H120*L120</f>
        <v>240</v>
      </c>
      <c r="Q120" s="10">
        <f>P120-I120</f>
        <v>180</v>
      </c>
      <c r="R120" s="26">
        <f>(D120-P120)/D120</f>
        <v>0.96190476190476193</v>
      </c>
    </row>
    <row r="121" spans="1:19" ht="24.9" customHeight="1" x14ac:dyDescent="0.25">
      <c r="A121" s="8">
        <v>119</v>
      </c>
      <c r="B121" s="6" t="s">
        <v>68</v>
      </c>
      <c r="C121" s="21" t="s">
        <v>357</v>
      </c>
      <c r="D121" s="21">
        <v>6300</v>
      </c>
      <c r="E121" s="21" t="s">
        <v>250</v>
      </c>
      <c r="F121" s="13">
        <v>688.5</v>
      </c>
      <c r="G121" s="13" t="s">
        <v>563</v>
      </c>
      <c r="H121" s="13">
        <v>3</v>
      </c>
      <c r="I121" s="13">
        <v>60</v>
      </c>
      <c r="J121" s="8">
        <v>9</v>
      </c>
      <c r="K121" s="14" t="s">
        <v>251</v>
      </c>
      <c r="L121" s="14">
        <v>0</v>
      </c>
      <c r="M121" s="8">
        <v>0</v>
      </c>
      <c r="N121" s="8"/>
      <c r="O121" s="23" t="s">
        <v>22</v>
      </c>
      <c r="P121" s="14">
        <f>D121-(F121+H121)*J121-M121-H121*L121</f>
        <v>76.5</v>
      </c>
      <c r="Q121" s="10">
        <f>P121-I121</f>
        <v>16.5</v>
      </c>
      <c r="R121" s="26">
        <f>(D121-P121)/D121</f>
        <v>0.98785714285714288</v>
      </c>
    </row>
    <row r="122" spans="1:19" ht="24.9" customHeight="1" x14ac:dyDescent="0.25">
      <c r="A122" s="8">
        <v>120</v>
      </c>
      <c r="B122" s="9" t="s">
        <v>120</v>
      </c>
      <c r="C122" s="21" t="s">
        <v>357</v>
      </c>
      <c r="D122" s="21">
        <v>6300</v>
      </c>
      <c r="E122" s="21" t="s">
        <v>250</v>
      </c>
      <c r="F122" s="8">
        <v>504.5</v>
      </c>
      <c r="G122" s="8" t="s">
        <v>563</v>
      </c>
      <c r="H122" s="13">
        <v>3</v>
      </c>
      <c r="I122" s="13">
        <v>60</v>
      </c>
      <c r="J122" s="8">
        <v>12</v>
      </c>
      <c r="K122" s="14" t="s">
        <v>251</v>
      </c>
      <c r="L122" s="14">
        <v>0</v>
      </c>
      <c r="M122" s="8">
        <v>0</v>
      </c>
      <c r="N122" s="8"/>
      <c r="O122" s="23" t="s">
        <v>22</v>
      </c>
      <c r="P122" s="14">
        <f>D122-(F122+H122)*J122-M122-H122*L122</f>
        <v>210</v>
      </c>
      <c r="Q122" s="10">
        <f>P122-I122</f>
        <v>150</v>
      </c>
      <c r="R122" s="26">
        <f>(D122-P122)/D122</f>
        <v>0.96666666666666667</v>
      </c>
    </row>
    <row r="123" spans="1:19" ht="24.9" customHeight="1" x14ac:dyDescent="0.25">
      <c r="A123" s="8">
        <v>121</v>
      </c>
      <c r="B123" s="9" t="s">
        <v>203</v>
      </c>
      <c r="C123" s="21" t="s">
        <v>357</v>
      </c>
      <c r="D123" s="21">
        <v>6300</v>
      </c>
      <c r="E123" s="21" t="s">
        <v>250</v>
      </c>
      <c r="F123" s="8">
        <v>767</v>
      </c>
      <c r="G123" s="8" t="s">
        <v>563</v>
      </c>
      <c r="H123" s="13">
        <v>3</v>
      </c>
      <c r="I123" s="13">
        <v>60</v>
      </c>
      <c r="J123" s="8">
        <v>8</v>
      </c>
      <c r="K123" s="14" t="s">
        <v>251</v>
      </c>
      <c r="L123" s="14">
        <v>0</v>
      </c>
      <c r="M123" s="8">
        <v>0</v>
      </c>
      <c r="N123" s="8"/>
      <c r="O123" s="23" t="s">
        <v>22</v>
      </c>
      <c r="P123" s="14">
        <f>D123-(F123+H123)*J123-M123-H123*L123</f>
        <v>140</v>
      </c>
      <c r="Q123" s="10">
        <f>P123-I123</f>
        <v>80</v>
      </c>
      <c r="R123" s="26">
        <f>(D123-P123)/D123</f>
        <v>0.97777777777777775</v>
      </c>
    </row>
    <row r="124" spans="1:19" ht="24.9" customHeight="1" x14ac:dyDescent="0.25">
      <c r="A124" s="8">
        <v>122</v>
      </c>
      <c r="B124" s="9" t="s">
        <v>19</v>
      </c>
      <c r="C124" s="21" t="s">
        <v>357</v>
      </c>
      <c r="D124" s="21">
        <v>6300</v>
      </c>
      <c r="E124" s="21" t="s">
        <v>250</v>
      </c>
      <c r="F124" s="13">
        <v>635.5</v>
      </c>
      <c r="G124" s="13" t="s">
        <v>563</v>
      </c>
      <c r="H124" s="13">
        <v>3</v>
      </c>
      <c r="I124" s="13">
        <v>60</v>
      </c>
      <c r="J124" s="8">
        <v>8</v>
      </c>
      <c r="K124" s="14" t="s">
        <v>570</v>
      </c>
      <c r="L124" s="14">
        <v>1</v>
      </c>
      <c r="M124" s="8">
        <v>1010</v>
      </c>
      <c r="N124" s="8" t="s">
        <v>563</v>
      </c>
      <c r="O124" s="23" t="s">
        <v>22</v>
      </c>
      <c r="P124" s="14">
        <f>D124-(F124+H124)*J124-M124-H124*L124</f>
        <v>179</v>
      </c>
      <c r="Q124" s="10">
        <f>P124-I124</f>
        <v>119</v>
      </c>
      <c r="R124" s="26">
        <f>(D124-P124)/D124</f>
        <v>0.97158730158730156</v>
      </c>
    </row>
    <row r="125" spans="1:19" ht="24.9" customHeight="1" x14ac:dyDescent="0.25">
      <c r="A125" s="8">
        <v>123</v>
      </c>
      <c r="B125" s="9" t="s">
        <v>20</v>
      </c>
      <c r="C125" s="21" t="s">
        <v>357</v>
      </c>
      <c r="D125" s="21">
        <v>6300</v>
      </c>
      <c r="E125" s="21" t="s">
        <v>250</v>
      </c>
      <c r="F125" s="13">
        <v>635.5</v>
      </c>
      <c r="G125" s="13" t="s">
        <v>563</v>
      </c>
      <c r="H125" s="13">
        <v>3</v>
      </c>
      <c r="I125" s="13">
        <v>60</v>
      </c>
      <c r="J125" s="8">
        <v>8</v>
      </c>
      <c r="K125" s="14" t="s">
        <v>570</v>
      </c>
      <c r="L125" s="14">
        <v>1</v>
      </c>
      <c r="M125" s="8">
        <v>1010</v>
      </c>
      <c r="N125" s="8" t="s">
        <v>563</v>
      </c>
      <c r="O125" s="23" t="s">
        <v>22</v>
      </c>
      <c r="P125" s="14">
        <f>D125-(F125+H125)*J125-M125-H125*L125</f>
        <v>179</v>
      </c>
      <c r="Q125" s="10">
        <f>P125-I125</f>
        <v>119</v>
      </c>
      <c r="R125" s="26">
        <f>(D125-P125)/D125</f>
        <v>0.97158730158730156</v>
      </c>
    </row>
    <row r="126" spans="1:19" ht="24.9" customHeight="1" x14ac:dyDescent="0.25">
      <c r="A126" s="8">
        <v>124</v>
      </c>
      <c r="B126" s="9" t="s">
        <v>21</v>
      </c>
      <c r="C126" s="21" t="s">
        <v>357</v>
      </c>
      <c r="D126" s="21">
        <v>6300</v>
      </c>
      <c r="E126" s="21" t="s">
        <v>250</v>
      </c>
      <c r="F126" s="13">
        <v>764</v>
      </c>
      <c r="G126" s="13" t="s">
        <v>563</v>
      </c>
      <c r="H126" s="13">
        <v>3</v>
      </c>
      <c r="I126" s="13">
        <v>60</v>
      </c>
      <c r="J126" s="8">
        <v>8</v>
      </c>
      <c r="K126" s="14" t="s">
        <v>251</v>
      </c>
      <c r="L126" s="14">
        <v>0</v>
      </c>
      <c r="M126" s="8">
        <v>0</v>
      </c>
      <c r="N126" s="8"/>
      <c r="O126" s="23" t="s">
        <v>22</v>
      </c>
      <c r="P126" s="14">
        <f>D126-(F126+H126)*J126-M126-H126*L126</f>
        <v>164</v>
      </c>
      <c r="Q126" s="10">
        <f>P126-I126</f>
        <v>104</v>
      </c>
      <c r="R126" s="26">
        <f>(D126-P126)/D126</f>
        <v>0.97396825396825393</v>
      </c>
    </row>
    <row r="127" spans="1:19" ht="24.9" customHeight="1" x14ac:dyDescent="0.25">
      <c r="A127" s="8">
        <v>125</v>
      </c>
      <c r="B127" s="9" t="s">
        <v>23</v>
      </c>
      <c r="C127" s="13" t="s">
        <v>357</v>
      </c>
      <c r="D127" s="13">
        <v>6300</v>
      </c>
      <c r="E127" s="13" t="s">
        <v>250</v>
      </c>
      <c r="F127" s="13">
        <v>756</v>
      </c>
      <c r="G127" s="13" t="s">
        <v>563</v>
      </c>
      <c r="H127" s="13">
        <v>3</v>
      </c>
      <c r="I127" s="13">
        <v>60</v>
      </c>
      <c r="J127" s="8">
        <v>8</v>
      </c>
      <c r="K127" s="14" t="s">
        <v>376</v>
      </c>
      <c r="L127" s="14">
        <v>0</v>
      </c>
      <c r="M127" s="8">
        <v>0</v>
      </c>
      <c r="N127" s="8"/>
      <c r="O127" s="23" t="s">
        <v>22</v>
      </c>
      <c r="P127" s="14">
        <f>D127-(F127+H127)*J127-M127-H127*L127</f>
        <v>228</v>
      </c>
      <c r="Q127" s="10">
        <f>P127-I127</f>
        <v>168</v>
      </c>
      <c r="R127" s="26">
        <f>(D127-P127)/D127</f>
        <v>0.96380952380952378</v>
      </c>
    </row>
    <row r="128" spans="1:19" ht="24.9" customHeight="1" x14ac:dyDescent="0.25">
      <c r="A128" s="8">
        <v>126</v>
      </c>
      <c r="B128" s="4" t="s">
        <v>206</v>
      </c>
      <c r="C128" s="13" t="s">
        <v>357</v>
      </c>
      <c r="D128" s="13">
        <v>6300</v>
      </c>
      <c r="E128" s="13" t="s">
        <v>250</v>
      </c>
      <c r="F128" s="8">
        <v>612</v>
      </c>
      <c r="G128" s="8" t="s">
        <v>563</v>
      </c>
      <c r="H128" s="13">
        <v>3</v>
      </c>
      <c r="I128" s="13">
        <v>60</v>
      </c>
      <c r="J128" s="8">
        <v>10</v>
      </c>
      <c r="K128" s="14" t="s">
        <v>251</v>
      </c>
      <c r="L128" s="14">
        <v>0</v>
      </c>
      <c r="M128" s="8">
        <v>0</v>
      </c>
      <c r="N128" s="8"/>
      <c r="O128" s="23" t="s">
        <v>22</v>
      </c>
      <c r="P128" s="14">
        <f>D128-(F128+H128)*J128-M128-H128*L128</f>
        <v>150</v>
      </c>
      <c r="Q128" s="10">
        <f>P128-I128</f>
        <v>90</v>
      </c>
      <c r="R128" s="26">
        <f>(D128-P128)/D128</f>
        <v>0.97619047619047616</v>
      </c>
    </row>
    <row r="129" spans="1:18" ht="24.9" customHeight="1" x14ac:dyDescent="0.25">
      <c r="A129" s="8">
        <v>127</v>
      </c>
      <c r="B129" s="4" t="s">
        <v>123</v>
      </c>
      <c r="C129" s="21" t="s">
        <v>357</v>
      </c>
      <c r="D129" s="21">
        <v>6300</v>
      </c>
      <c r="E129" s="21" t="s">
        <v>250</v>
      </c>
      <c r="F129" s="13">
        <v>1245</v>
      </c>
      <c r="G129" s="13" t="s">
        <v>563</v>
      </c>
      <c r="H129" s="13">
        <v>3</v>
      </c>
      <c r="I129" s="13">
        <v>60</v>
      </c>
      <c r="J129" s="8">
        <v>5</v>
      </c>
      <c r="K129" s="14" t="s">
        <v>251</v>
      </c>
      <c r="L129" s="14">
        <v>0</v>
      </c>
      <c r="M129" s="8">
        <v>0</v>
      </c>
      <c r="N129" s="8"/>
      <c r="O129" s="23"/>
      <c r="P129" s="14">
        <f>D129-(F129+H129)*J129-M129-H129*L129</f>
        <v>60</v>
      </c>
      <c r="Q129" s="10">
        <f>P129-I129</f>
        <v>0</v>
      </c>
      <c r="R129" s="26">
        <f>(D129-P129)/D129</f>
        <v>0.99047619047619051</v>
      </c>
    </row>
    <row r="130" spans="1:18" ht="24.9" customHeight="1" x14ac:dyDescent="0.25">
      <c r="A130" s="8">
        <v>128</v>
      </c>
      <c r="B130" s="4" t="s">
        <v>208</v>
      </c>
      <c r="C130" s="21" t="s">
        <v>357</v>
      </c>
      <c r="D130" s="21">
        <v>6100</v>
      </c>
      <c r="E130" s="21" t="s">
        <v>250</v>
      </c>
      <c r="F130" s="8">
        <v>1059</v>
      </c>
      <c r="G130" s="8" t="s">
        <v>563</v>
      </c>
      <c r="H130" s="8">
        <v>3</v>
      </c>
      <c r="I130" s="13">
        <v>60</v>
      </c>
      <c r="J130" s="8">
        <v>5</v>
      </c>
      <c r="K130" s="10" t="s">
        <v>377</v>
      </c>
      <c r="L130" s="14">
        <v>1</v>
      </c>
      <c r="M130" s="8">
        <v>560</v>
      </c>
      <c r="N130" s="8" t="s">
        <v>563</v>
      </c>
      <c r="O130" s="24"/>
      <c r="P130" s="14">
        <f>D130-(F130+H130)*J130-M130-H130*L130</f>
        <v>227</v>
      </c>
      <c r="Q130" s="10">
        <f>P130-I130</f>
        <v>167</v>
      </c>
      <c r="R130" s="26">
        <f>(D130-P130)/D130</f>
        <v>0.96278688524590161</v>
      </c>
    </row>
    <row r="131" spans="1:18" ht="24.9" customHeight="1" x14ac:dyDescent="0.25">
      <c r="A131" s="8">
        <v>129</v>
      </c>
      <c r="B131" s="4" t="s">
        <v>209</v>
      </c>
      <c r="C131" s="21" t="s">
        <v>357</v>
      </c>
      <c r="D131" s="21">
        <v>6300</v>
      </c>
      <c r="E131" s="21" t="s">
        <v>250</v>
      </c>
      <c r="F131" s="8">
        <v>1244</v>
      </c>
      <c r="G131" s="8" t="s">
        <v>563</v>
      </c>
      <c r="H131" s="13">
        <v>3</v>
      </c>
      <c r="I131" s="13">
        <v>60</v>
      </c>
      <c r="J131" s="8">
        <v>5</v>
      </c>
      <c r="K131" s="14" t="s">
        <v>251</v>
      </c>
      <c r="L131" s="14">
        <v>0</v>
      </c>
      <c r="M131" s="8">
        <v>0</v>
      </c>
      <c r="N131" s="8"/>
      <c r="O131" s="24"/>
      <c r="P131" s="14">
        <f>D131-(F131+H131)*J131-M131-H131*L131</f>
        <v>65</v>
      </c>
      <c r="Q131" s="10">
        <f>P131-I131</f>
        <v>5</v>
      </c>
      <c r="R131" s="26">
        <f>(D131-P131)/D131</f>
        <v>0.98968253968253972</v>
      </c>
    </row>
    <row r="132" spans="1:18" ht="24.9" customHeight="1" x14ac:dyDescent="0.25">
      <c r="A132" s="8">
        <v>130</v>
      </c>
      <c r="B132" s="4" t="s">
        <v>215</v>
      </c>
      <c r="C132" s="21" t="s">
        <v>357</v>
      </c>
      <c r="D132" s="21">
        <v>6300</v>
      </c>
      <c r="E132" s="21" t="s">
        <v>250</v>
      </c>
      <c r="F132" s="8">
        <v>685.5</v>
      </c>
      <c r="G132" s="8" t="s">
        <v>563</v>
      </c>
      <c r="H132" s="13">
        <v>3</v>
      </c>
      <c r="I132" s="13">
        <v>60</v>
      </c>
      <c r="J132" s="8">
        <v>9</v>
      </c>
      <c r="K132" s="14" t="s">
        <v>251</v>
      </c>
      <c r="L132" s="14">
        <v>0</v>
      </c>
      <c r="M132" s="8">
        <v>0</v>
      </c>
      <c r="N132" s="8"/>
      <c r="O132" s="24"/>
      <c r="P132" s="14">
        <f>D132-(F132+H132)*J132-M132-H132*L132</f>
        <v>103.5</v>
      </c>
      <c r="Q132" s="10">
        <f>P132-I132</f>
        <v>43.5</v>
      </c>
      <c r="R132" s="26">
        <f>(D132-P132)/D132</f>
        <v>0.98357142857142854</v>
      </c>
    </row>
    <row r="133" spans="1:18" ht="24.9" customHeight="1" x14ac:dyDescent="0.25">
      <c r="A133" s="8">
        <v>131</v>
      </c>
      <c r="B133" s="11" t="s">
        <v>145</v>
      </c>
      <c r="C133" s="21" t="s">
        <v>357</v>
      </c>
      <c r="D133" s="21">
        <v>6300</v>
      </c>
      <c r="E133" s="21" t="s">
        <v>250</v>
      </c>
      <c r="F133" s="8">
        <v>869</v>
      </c>
      <c r="G133" s="8" t="s">
        <v>563</v>
      </c>
      <c r="H133" s="13">
        <v>3</v>
      </c>
      <c r="I133" s="13">
        <v>60</v>
      </c>
      <c r="J133" s="8">
        <v>7</v>
      </c>
      <c r="K133" s="14" t="s">
        <v>251</v>
      </c>
      <c r="L133" s="14">
        <v>0</v>
      </c>
      <c r="M133" s="8">
        <v>0</v>
      </c>
      <c r="N133" s="8"/>
      <c r="O133" s="24"/>
      <c r="P133" s="14">
        <f>D133-(F133+H133)*J133-M133-H133*L133</f>
        <v>196</v>
      </c>
      <c r="Q133" s="10">
        <f>P133-I133</f>
        <v>136</v>
      </c>
      <c r="R133" s="26">
        <f>(D133-P133)/D133</f>
        <v>0.96888888888888891</v>
      </c>
    </row>
    <row r="134" spans="1:18" ht="24.9" customHeight="1" x14ac:dyDescent="0.25">
      <c r="A134" s="8">
        <v>132</v>
      </c>
      <c r="B134" s="11" t="s">
        <v>144</v>
      </c>
      <c r="C134" s="21" t="s">
        <v>555</v>
      </c>
      <c r="D134" s="21">
        <v>5500</v>
      </c>
      <c r="E134" s="21" t="s">
        <v>250</v>
      </c>
      <c r="F134" s="8">
        <v>1243</v>
      </c>
      <c r="G134" s="8" t="s">
        <v>563</v>
      </c>
      <c r="H134" s="8">
        <v>3</v>
      </c>
      <c r="I134" s="13">
        <v>60</v>
      </c>
      <c r="J134" s="8">
        <v>3</v>
      </c>
      <c r="K134" s="14" t="s">
        <v>568</v>
      </c>
      <c r="L134" s="14">
        <v>1</v>
      </c>
      <c r="M134" s="8">
        <v>1505</v>
      </c>
      <c r="N134" s="8" t="s">
        <v>563</v>
      </c>
      <c r="O134" s="24"/>
      <c r="P134" s="14">
        <f>D134-(F134+H134)*J134-M134-H134*L134</f>
        <v>254</v>
      </c>
      <c r="Q134" s="10">
        <f>P134-I134</f>
        <v>194</v>
      </c>
      <c r="R134" s="26">
        <f>(D134-P134)/D134</f>
        <v>0.95381818181818179</v>
      </c>
    </row>
    <row r="135" spans="1:18" ht="24.9" customHeight="1" x14ac:dyDescent="0.25">
      <c r="A135" s="8">
        <v>133</v>
      </c>
      <c r="B135" s="11" t="s">
        <v>143</v>
      </c>
      <c r="C135" s="21" t="s">
        <v>357</v>
      </c>
      <c r="D135" s="21">
        <v>6300</v>
      </c>
      <c r="E135" s="21" t="s">
        <v>250</v>
      </c>
      <c r="F135" s="8">
        <v>876</v>
      </c>
      <c r="G135" s="8" t="s">
        <v>563</v>
      </c>
      <c r="H135" s="13">
        <v>3</v>
      </c>
      <c r="I135" s="13">
        <v>60</v>
      </c>
      <c r="J135" s="8">
        <v>7</v>
      </c>
      <c r="K135" s="14" t="s">
        <v>251</v>
      </c>
      <c r="L135" s="14">
        <v>0</v>
      </c>
      <c r="M135" s="8">
        <v>0</v>
      </c>
      <c r="N135" s="8"/>
      <c r="O135" s="24"/>
      <c r="P135" s="14">
        <f>D135-(F135+H135)*J135-M135-H135*L135</f>
        <v>147</v>
      </c>
      <c r="Q135" s="10">
        <f>P135-I135</f>
        <v>87</v>
      </c>
      <c r="R135" s="26">
        <f>(D135-P135)/D135</f>
        <v>0.97666666666666668</v>
      </c>
    </row>
    <row r="136" spans="1:18" ht="24.9" customHeight="1" x14ac:dyDescent="0.25">
      <c r="A136" s="8">
        <v>134</v>
      </c>
      <c r="B136" s="4" t="s">
        <v>129</v>
      </c>
      <c r="C136" s="21" t="s">
        <v>357</v>
      </c>
      <c r="D136" s="21">
        <v>6300</v>
      </c>
      <c r="E136" s="21" t="s">
        <v>250</v>
      </c>
      <c r="F136" s="13">
        <v>1240</v>
      </c>
      <c r="G136" s="13" t="s">
        <v>563</v>
      </c>
      <c r="H136" s="13">
        <v>3</v>
      </c>
      <c r="I136" s="13">
        <v>60</v>
      </c>
      <c r="J136" s="8">
        <v>5</v>
      </c>
      <c r="K136" s="14" t="s">
        <v>251</v>
      </c>
      <c r="L136" s="14">
        <v>0</v>
      </c>
      <c r="M136" s="8">
        <v>0</v>
      </c>
      <c r="N136" s="8"/>
      <c r="O136" s="23"/>
      <c r="P136" s="14">
        <f>D136-(F136+H136)*J136-M136-H136*L136</f>
        <v>85</v>
      </c>
      <c r="Q136" s="10">
        <f>P136-I136</f>
        <v>25</v>
      </c>
      <c r="R136" s="26">
        <f>(D136-P136)/D136</f>
        <v>0.98650793650793656</v>
      </c>
    </row>
    <row r="137" spans="1:18" ht="24.9" customHeight="1" x14ac:dyDescent="0.25">
      <c r="A137" s="8">
        <v>135</v>
      </c>
      <c r="B137" s="4" t="s">
        <v>43</v>
      </c>
      <c r="C137" s="21" t="s">
        <v>357</v>
      </c>
      <c r="D137" s="21">
        <v>6300</v>
      </c>
      <c r="E137" s="21" t="s">
        <v>250</v>
      </c>
      <c r="F137" s="13">
        <v>1010</v>
      </c>
      <c r="G137" s="13" t="s">
        <v>563</v>
      </c>
      <c r="H137" s="13">
        <v>3</v>
      </c>
      <c r="I137" s="13">
        <v>60</v>
      </c>
      <c r="J137" s="8">
        <v>6</v>
      </c>
      <c r="K137" s="14" t="s">
        <v>376</v>
      </c>
      <c r="L137" s="14">
        <v>0</v>
      </c>
      <c r="M137" s="8">
        <v>0</v>
      </c>
      <c r="N137" s="8"/>
      <c r="O137" s="23"/>
      <c r="P137" s="14">
        <f>D137-(F137+H137)*J137-M137-H137*L137</f>
        <v>222</v>
      </c>
      <c r="Q137" s="10">
        <f>P137-I137</f>
        <v>162</v>
      </c>
      <c r="R137" s="26">
        <f>(D137-P137)/D137</f>
        <v>0.96476190476190471</v>
      </c>
    </row>
    <row r="138" spans="1:18" ht="24.9" customHeight="1" x14ac:dyDescent="0.25">
      <c r="A138" s="8">
        <v>136</v>
      </c>
      <c r="B138" s="4" t="s">
        <v>253</v>
      </c>
      <c r="C138" s="21" t="s">
        <v>357</v>
      </c>
      <c r="D138" s="21">
        <v>6300</v>
      </c>
      <c r="E138" s="21" t="s">
        <v>250</v>
      </c>
      <c r="F138" s="8">
        <v>768</v>
      </c>
      <c r="G138" s="8" t="s">
        <v>563</v>
      </c>
      <c r="H138" s="13">
        <v>3</v>
      </c>
      <c r="I138" s="13">
        <v>60</v>
      </c>
      <c r="J138" s="8">
        <v>8</v>
      </c>
      <c r="K138" s="14" t="s">
        <v>251</v>
      </c>
      <c r="L138" s="14">
        <v>0</v>
      </c>
      <c r="M138" s="8">
        <v>0</v>
      </c>
      <c r="N138" s="8"/>
      <c r="O138" s="23"/>
      <c r="P138" s="14">
        <f>D138-(F138+H138)*J138-M138-H138*L138</f>
        <v>132</v>
      </c>
      <c r="Q138" s="10">
        <f>P138-I138</f>
        <v>72</v>
      </c>
      <c r="R138" s="26">
        <f>(D138-P138)/D138</f>
        <v>0.97904761904761906</v>
      </c>
    </row>
    <row r="139" spans="1:18" ht="24.9" customHeight="1" x14ac:dyDescent="0.25">
      <c r="A139" s="8">
        <v>137</v>
      </c>
      <c r="B139" s="4" t="s">
        <v>46</v>
      </c>
      <c r="C139" s="21" t="s">
        <v>357</v>
      </c>
      <c r="D139" s="21">
        <v>6300</v>
      </c>
      <c r="E139" s="21" t="s">
        <v>250</v>
      </c>
      <c r="F139" s="13">
        <v>1010</v>
      </c>
      <c r="G139" s="13" t="s">
        <v>563</v>
      </c>
      <c r="H139" s="13">
        <v>3</v>
      </c>
      <c r="I139" s="13">
        <v>60</v>
      </c>
      <c r="J139" s="8">
        <v>6</v>
      </c>
      <c r="K139" s="14" t="s">
        <v>376</v>
      </c>
      <c r="L139" s="14">
        <v>0</v>
      </c>
      <c r="M139" s="8">
        <v>0</v>
      </c>
      <c r="N139" s="8"/>
      <c r="O139" s="23"/>
      <c r="P139" s="14">
        <f>D139-(F139+H139)*J139-M139-H139*L139</f>
        <v>222</v>
      </c>
      <c r="Q139" s="10">
        <f>P139-I139</f>
        <v>162</v>
      </c>
      <c r="R139" s="26">
        <f>(D139-P139)/D139</f>
        <v>0.96476190476190471</v>
      </c>
    </row>
    <row r="140" spans="1:18" ht="24.9" customHeight="1" x14ac:dyDescent="0.25">
      <c r="A140" s="8">
        <v>138</v>
      </c>
      <c r="B140" s="4" t="s">
        <v>63</v>
      </c>
      <c r="C140" s="21" t="s">
        <v>357</v>
      </c>
      <c r="D140" s="21">
        <v>6300</v>
      </c>
      <c r="E140" s="21" t="s">
        <v>250</v>
      </c>
      <c r="F140" s="13">
        <v>1225</v>
      </c>
      <c r="G140" s="13" t="s">
        <v>563</v>
      </c>
      <c r="H140" s="13">
        <v>3</v>
      </c>
      <c r="I140" s="13">
        <v>60</v>
      </c>
      <c r="J140" s="8">
        <v>5</v>
      </c>
      <c r="K140" s="14" t="s">
        <v>251</v>
      </c>
      <c r="L140" s="14">
        <v>0</v>
      </c>
      <c r="M140" s="8">
        <v>0</v>
      </c>
      <c r="N140" s="8"/>
      <c r="O140" s="23"/>
      <c r="P140" s="14">
        <f>D140-(F140+H140)*J140-M140-H140*L140</f>
        <v>160</v>
      </c>
      <c r="Q140" s="10">
        <f>P140-I140</f>
        <v>100</v>
      </c>
      <c r="R140" s="26">
        <f>(D140-P140)/D140</f>
        <v>0.97460317460317458</v>
      </c>
    </row>
    <row r="141" spans="1:18" ht="24.9" customHeight="1" x14ac:dyDescent="0.25">
      <c r="A141" s="8">
        <v>139</v>
      </c>
      <c r="B141" s="4" t="s">
        <v>65</v>
      </c>
      <c r="C141" s="21" t="s">
        <v>357</v>
      </c>
      <c r="D141" s="21">
        <v>6100</v>
      </c>
      <c r="E141" s="21" t="s">
        <v>250</v>
      </c>
      <c r="F141" s="13">
        <v>1065</v>
      </c>
      <c r="G141" s="13" t="s">
        <v>563</v>
      </c>
      <c r="H141" s="13">
        <v>3</v>
      </c>
      <c r="I141" s="13">
        <v>60</v>
      </c>
      <c r="J141" s="8">
        <v>5</v>
      </c>
      <c r="K141" s="10" t="s">
        <v>377</v>
      </c>
      <c r="L141" s="14">
        <v>1</v>
      </c>
      <c r="M141" s="8">
        <v>560</v>
      </c>
      <c r="N141" s="8" t="s">
        <v>563</v>
      </c>
      <c r="O141" s="23"/>
      <c r="P141" s="14">
        <f>D141-(F141+H141)*J141-M141-H141*L141</f>
        <v>197</v>
      </c>
      <c r="Q141" s="10">
        <f>P141-I141</f>
        <v>137</v>
      </c>
      <c r="R141" s="26">
        <f>(D141-P141)/D141</f>
        <v>0.96770491803278691</v>
      </c>
    </row>
    <row r="142" spans="1:18" ht="24.9" customHeight="1" x14ac:dyDescent="0.25">
      <c r="A142" s="33">
        <v>140</v>
      </c>
      <c r="B142" s="45" t="s">
        <v>351</v>
      </c>
      <c r="C142" s="35" t="s">
        <v>357</v>
      </c>
      <c r="D142" s="35">
        <v>5800</v>
      </c>
      <c r="E142" s="35" t="s">
        <v>250</v>
      </c>
      <c r="F142" s="36">
        <v>1430</v>
      </c>
      <c r="G142" s="36" t="s">
        <v>563</v>
      </c>
      <c r="H142" s="13">
        <v>3</v>
      </c>
      <c r="I142" s="13">
        <v>60</v>
      </c>
      <c r="J142" s="33">
        <v>4</v>
      </c>
      <c r="K142" s="39" t="s">
        <v>251</v>
      </c>
      <c r="L142" s="14">
        <v>0</v>
      </c>
      <c r="M142" s="8">
        <v>0</v>
      </c>
      <c r="N142" s="46"/>
      <c r="O142" s="38" t="s">
        <v>131</v>
      </c>
      <c r="P142" s="14">
        <f>D142-(F142+H142)*J142-M142-H142*L142</f>
        <v>68</v>
      </c>
      <c r="Q142" s="10">
        <f>P142-I142</f>
        <v>8</v>
      </c>
      <c r="R142" s="26">
        <f>(D142-P142)/D142</f>
        <v>0.98827586206896556</v>
      </c>
    </row>
    <row r="143" spans="1:18" ht="24.9" customHeight="1" x14ac:dyDescent="0.25">
      <c r="A143" s="8">
        <v>141</v>
      </c>
      <c r="B143" s="4" t="s">
        <v>53</v>
      </c>
      <c r="C143" s="21" t="s">
        <v>357</v>
      </c>
      <c r="D143" s="21">
        <v>5800</v>
      </c>
      <c r="E143" s="21" t="s">
        <v>250</v>
      </c>
      <c r="F143" s="13">
        <v>1135</v>
      </c>
      <c r="G143" s="13" t="s">
        <v>563</v>
      </c>
      <c r="H143" s="13">
        <v>3</v>
      </c>
      <c r="I143" s="13">
        <v>60</v>
      </c>
      <c r="J143" s="8">
        <v>5</v>
      </c>
      <c r="K143" s="10" t="s">
        <v>251</v>
      </c>
      <c r="L143" s="14">
        <v>0</v>
      </c>
      <c r="M143" s="8">
        <v>0</v>
      </c>
      <c r="N143" s="22"/>
      <c r="O143" s="24"/>
      <c r="P143" s="14">
        <f>D143-(F143+H143)*J143-M143-H143*L143</f>
        <v>110</v>
      </c>
      <c r="Q143" s="10">
        <f>P143-I143</f>
        <v>50</v>
      </c>
      <c r="R143" s="26">
        <f>(D143-P143)/D143</f>
        <v>0.98103448275862071</v>
      </c>
    </row>
    <row r="144" spans="1:18" ht="24.9" customHeight="1" x14ac:dyDescent="0.25">
      <c r="A144" s="8">
        <v>142</v>
      </c>
      <c r="B144" s="4" t="s">
        <v>57</v>
      </c>
      <c r="C144" s="13" t="s">
        <v>357</v>
      </c>
      <c r="D144" s="13">
        <v>5800</v>
      </c>
      <c r="E144" s="13" t="s">
        <v>250</v>
      </c>
      <c r="F144" s="13">
        <v>1110</v>
      </c>
      <c r="G144" s="13" t="s">
        <v>563</v>
      </c>
      <c r="H144" s="13">
        <v>3</v>
      </c>
      <c r="I144" s="13">
        <v>60</v>
      </c>
      <c r="J144" s="8">
        <v>5</v>
      </c>
      <c r="K144" s="14" t="s">
        <v>376</v>
      </c>
      <c r="L144" s="14">
        <v>0</v>
      </c>
      <c r="M144" s="8">
        <v>0</v>
      </c>
      <c r="N144" s="8"/>
      <c r="O144" s="24"/>
      <c r="P144" s="14">
        <f>D144-(F144+H144)*J144-M144-H144*L144</f>
        <v>235</v>
      </c>
      <c r="Q144" s="10">
        <f>P144-I144</f>
        <v>175</v>
      </c>
      <c r="R144" s="26">
        <f>(D144-P144)/D144</f>
        <v>0.95948275862068966</v>
      </c>
    </row>
    <row r="145" spans="1:19" ht="24.9" customHeight="1" x14ac:dyDescent="0.25">
      <c r="A145" s="8">
        <v>143</v>
      </c>
      <c r="B145" s="4" t="s">
        <v>59</v>
      </c>
      <c r="C145" s="13" t="s">
        <v>357</v>
      </c>
      <c r="D145" s="13">
        <v>5800</v>
      </c>
      <c r="E145" s="13" t="s">
        <v>250</v>
      </c>
      <c r="F145" s="13">
        <v>1130</v>
      </c>
      <c r="G145" s="13" t="s">
        <v>563</v>
      </c>
      <c r="H145" s="13">
        <v>3</v>
      </c>
      <c r="I145" s="13">
        <v>60</v>
      </c>
      <c r="J145" s="8">
        <v>5</v>
      </c>
      <c r="K145" s="10" t="s">
        <v>251</v>
      </c>
      <c r="L145" s="14">
        <v>0</v>
      </c>
      <c r="M145" s="8">
        <v>0</v>
      </c>
      <c r="N145" s="22"/>
      <c r="O145" s="24"/>
      <c r="P145" s="14">
        <f>D145-(F145+H145)*J145-M145-H145*L145</f>
        <v>135</v>
      </c>
      <c r="Q145" s="10">
        <f>P145-I145</f>
        <v>75</v>
      </c>
      <c r="R145" s="26">
        <f>(D145-P145)/D145</f>
        <v>0.97672413793103452</v>
      </c>
    </row>
    <row r="146" spans="1:19" ht="24.9" customHeight="1" x14ac:dyDescent="0.25">
      <c r="A146" s="8">
        <v>144</v>
      </c>
      <c r="B146" s="4" t="s">
        <v>121</v>
      </c>
      <c r="C146" s="21" t="s">
        <v>357</v>
      </c>
      <c r="D146" s="21">
        <v>5800</v>
      </c>
      <c r="E146" s="21" t="s">
        <v>250</v>
      </c>
      <c r="F146" s="13">
        <v>1150</v>
      </c>
      <c r="G146" s="13" t="s">
        <v>563</v>
      </c>
      <c r="H146" s="13">
        <v>3</v>
      </c>
      <c r="I146" s="13">
        <v>60</v>
      </c>
      <c r="J146" s="8">
        <v>4</v>
      </c>
      <c r="K146" s="14" t="s">
        <v>570</v>
      </c>
      <c r="L146" s="10">
        <v>1</v>
      </c>
      <c r="M146" s="8">
        <v>1010</v>
      </c>
      <c r="N146" s="8" t="s">
        <v>563</v>
      </c>
      <c r="O146" s="24"/>
      <c r="P146" s="14">
        <f>D146-(F146+H146)*J146-M146-H146*L146</f>
        <v>175</v>
      </c>
      <c r="Q146" s="10">
        <f>P146-I146</f>
        <v>115</v>
      </c>
      <c r="R146" s="26">
        <f>(D146-P146)/D146</f>
        <v>0.96982758620689657</v>
      </c>
    </row>
    <row r="147" spans="1:19" ht="24.9" customHeight="1" x14ac:dyDescent="0.25">
      <c r="A147" s="8">
        <v>145</v>
      </c>
      <c r="B147" s="4" t="s">
        <v>155</v>
      </c>
      <c r="C147" s="21" t="s">
        <v>357</v>
      </c>
      <c r="D147" s="21">
        <v>5800</v>
      </c>
      <c r="E147" s="21" t="s">
        <v>250</v>
      </c>
      <c r="F147" s="13">
        <v>1088</v>
      </c>
      <c r="G147" s="13" t="s">
        <v>563</v>
      </c>
      <c r="H147" s="13">
        <v>3</v>
      </c>
      <c r="I147" s="13">
        <v>60</v>
      </c>
      <c r="J147" s="8">
        <v>4</v>
      </c>
      <c r="K147" s="14" t="s">
        <v>569</v>
      </c>
      <c r="L147" s="10">
        <v>1</v>
      </c>
      <c r="M147" s="8">
        <v>1210</v>
      </c>
      <c r="N147" s="8" t="s">
        <v>563</v>
      </c>
      <c r="O147" s="24"/>
      <c r="P147" s="14">
        <f>D147-(F147+H147)*J147-M147-H147*L147</f>
        <v>223</v>
      </c>
      <c r="Q147" s="10">
        <f>P147-I147</f>
        <v>163</v>
      </c>
      <c r="R147" s="26">
        <f>(D147-P147)/D147</f>
        <v>0.961551724137931</v>
      </c>
    </row>
    <row r="148" spans="1:19" ht="24.9" customHeight="1" x14ac:dyDescent="0.25">
      <c r="A148" s="8">
        <v>146</v>
      </c>
      <c r="B148" s="4" t="s">
        <v>138</v>
      </c>
      <c r="C148" s="21" t="s">
        <v>357</v>
      </c>
      <c r="D148" s="21">
        <v>5800</v>
      </c>
      <c r="E148" s="21" t="s">
        <v>250</v>
      </c>
      <c r="F148" s="13">
        <v>900</v>
      </c>
      <c r="G148" s="13" t="s">
        <v>563</v>
      </c>
      <c r="H148" s="13">
        <v>3</v>
      </c>
      <c r="I148" s="13">
        <v>60</v>
      </c>
      <c r="J148" s="8">
        <v>5</v>
      </c>
      <c r="K148" s="14" t="s">
        <v>569</v>
      </c>
      <c r="L148" s="10">
        <v>1</v>
      </c>
      <c r="M148" s="8">
        <v>1210</v>
      </c>
      <c r="N148" s="8" t="s">
        <v>563</v>
      </c>
      <c r="O148" s="23"/>
      <c r="P148" s="14">
        <f>D148-(F148+H148)*J148-M148-H148*L148</f>
        <v>72</v>
      </c>
      <c r="Q148" s="10">
        <f>P148-I148</f>
        <v>12</v>
      </c>
      <c r="R148" s="26">
        <f>(D148-P148)/D148</f>
        <v>0.98758620689655174</v>
      </c>
    </row>
    <row r="149" spans="1:19" ht="24.9" customHeight="1" x14ac:dyDescent="0.25">
      <c r="A149" s="8">
        <v>147</v>
      </c>
      <c r="B149" s="4" t="s">
        <v>139</v>
      </c>
      <c r="C149" s="21" t="s">
        <v>357</v>
      </c>
      <c r="D149" s="21">
        <v>5800</v>
      </c>
      <c r="E149" s="21" t="s">
        <v>250</v>
      </c>
      <c r="F149" s="13">
        <v>1122</v>
      </c>
      <c r="G149" s="13" t="s">
        <v>563</v>
      </c>
      <c r="H149" s="13">
        <v>3</v>
      </c>
      <c r="I149" s="13">
        <v>60</v>
      </c>
      <c r="J149" s="8">
        <v>5</v>
      </c>
      <c r="K149" s="14" t="s">
        <v>251</v>
      </c>
      <c r="L149" s="14">
        <v>0</v>
      </c>
      <c r="M149" s="8">
        <v>0</v>
      </c>
      <c r="N149" s="8"/>
      <c r="O149" s="23"/>
      <c r="P149" s="14">
        <f>D149-(F149+H149)*J149-M149-H149*L149</f>
        <v>175</v>
      </c>
      <c r="Q149" s="10">
        <f>P149-I149</f>
        <v>115</v>
      </c>
      <c r="R149" s="26">
        <f>(D149-P149)/D149</f>
        <v>0.96982758620689657</v>
      </c>
    </row>
    <row r="150" spans="1:19" ht="24.9" customHeight="1" x14ac:dyDescent="0.25">
      <c r="A150" s="8">
        <v>148</v>
      </c>
      <c r="B150" s="4" t="s">
        <v>128</v>
      </c>
      <c r="C150" s="21" t="s">
        <v>357</v>
      </c>
      <c r="D150" s="21">
        <v>5800</v>
      </c>
      <c r="E150" s="21" t="s">
        <v>250</v>
      </c>
      <c r="F150" s="13">
        <v>1097</v>
      </c>
      <c r="G150" s="13" t="s">
        <v>563</v>
      </c>
      <c r="H150" s="13">
        <v>3</v>
      </c>
      <c r="I150" s="13">
        <v>60</v>
      </c>
      <c r="J150" s="8">
        <v>4</v>
      </c>
      <c r="K150" s="14" t="s">
        <v>569</v>
      </c>
      <c r="L150" s="10">
        <v>1</v>
      </c>
      <c r="M150" s="8">
        <v>1210</v>
      </c>
      <c r="N150" s="8" t="s">
        <v>563</v>
      </c>
      <c r="O150" s="23"/>
      <c r="P150" s="14">
        <f>D150-(F150+H150)*J150-M150-H150*L150</f>
        <v>187</v>
      </c>
      <c r="Q150" s="10">
        <f>P150-I150</f>
        <v>127</v>
      </c>
      <c r="R150" s="26">
        <f>(D150-P150)/D150</f>
        <v>0.96775862068965512</v>
      </c>
    </row>
    <row r="151" spans="1:19" ht="24.9" customHeight="1" x14ac:dyDescent="0.25">
      <c r="A151" s="8">
        <v>149</v>
      </c>
      <c r="B151" s="4" t="s">
        <v>49</v>
      </c>
      <c r="C151" s="21" t="s">
        <v>357</v>
      </c>
      <c r="D151" s="21">
        <v>5800</v>
      </c>
      <c r="E151" s="21" t="s">
        <v>250</v>
      </c>
      <c r="F151" s="13">
        <v>1095</v>
      </c>
      <c r="G151" s="13" t="s">
        <v>563</v>
      </c>
      <c r="H151" s="13">
        <v>3</v>
      </c>
      <c r="I151" s="13">
        <v>60</v>
      </c>
      <c r="J151" s="8">
        <v>4</v>
      </c>
      <c r="K151" s="14" t="s">
        <v>569</v>
      </c>
      <c r="L151" s="10">
        <v>1</v>
      </c>
      <c r="M151" s="8">
        <v>1210</v>
      </c>
      <c r="N151" s="8" t="s">
        <v>563</v>
      </c>
      <c r="O151" s="23"/>
      <c r="P151" s="14">
        <f>D151-(F151+H151)*J151-M151-H151*L151</f>
        <v>195</v>
      </c>
      <c r="Q151" s="10">
        <f>P151-I151</f>
        <v>135</v>
      </c>
      <c r="R151" s="26">
        <f>(D151-P151)/D151</f>
        <v>0.9663793103448276</v>
      </c>
    </row>
    <row r="152" spans="1:19" ht="24.9" customHeight="1" x14ac:dyDescent="0.25">
      <c r="A152" s="8">
        <v>150</v>
      </c>
      <c r="B152" s="4" t="s">
        <v>58</v>
      </c>
      <c r="C152" s="21" t="s">
        <v>357</v>
      </c>
      <c r="D152" s="21">
        <v>6100</v>
      </c>
      <c r="E152" s="21" t="s">
        <v>250</v>
      </c>
      <c r="F152" s="13">
        <v>1065</v>
      </c>
      <c r="G152" s="13" t="s">
        <v>563</v>
      </c>
      <c r="H152" s="13">
        <v>3</v>
      </c>
      <c r="I152" s="13">
        <v>60</v>
      </c>
      <c r="J152" s="8">
        <v>5</v>
      </c>
      <c r="K152" s="10" t="s">
        <v>377</v>
      </c>
      <c r="L152" s="10">
        <v>1</v>
      </c>
      <c r="M152" s="8">
        <v>560</v>
      </c>
      <c r="N152" s="8" t="s">
        <v>563</v>
      </c>
      <c r="O152" s="23"/>
      <c r="P152" s="14">
        <f>D152-(F152+H152)*J152-M152-H152*L152</f>
        <v>197</v>
      </c>
      <c r="Q152" s="10">
        <f>P152-I152</f>
        <v>137</v>
      </c>
      <c r="R152" s="26">
        <f>(D152-P152)/D152</f>
        <v>0.96770491803278691</v>
      </c>
    </row>
    <row r="153" spans="1:19" ht="24.9" customHeight="1" x14ac:dyDescent="0.25">
      <c r="A153" s="8">
        <v>151</v>
      </c>
      <c r="B153" s="4" t="s">
        <v>56</v>
      </c>
      <c r="C153" s="21" t="s">
        <v>357</v>
      </c>
      <c r="D153" s="21">
        <v>5800</v>
      </c>
      <c r="E153" s="21" t="s">
        <v>250</v>
      </c>
      <c r="F153" s="13">
        <v>1090</v>
      </c>
      <c r="G153" s="13" t="s">
        <v>563</v>
      </c>
      <c r="H153" s="13">
        <v>3</v>
      </c>
      <c r="I153" s="13">
        <v>60</v>
      </c>
      <c r="J153" s="8">
        <v>4</v>
      </c>
      <c r="K153" s="14" t="s">
        <v>569</v>
      </c>
      <c r="L153" s="10">
        <v>1</v>
      </c>
      <c r="M153" s="8">
        <v>1210</v>
      </c>
      <c r="N153" s="8" t="s">
        <v>563</v>
      </c>
      <c r="O153" s="23"/>
      <c r="P153" s="14">
        <f>D153-(F153+H153)*J153-M153-H153*L153</f>
        <v>215</v>
      </c>
      <c r="Q153" s="10">
        <f>P153-I153</f>
        <v>155</v>
      </c>
      <c r="R153" s="26">
        <f>(D153-P153)/D153</f>
        <v>0.96293103448275863</v>
      </c>
    </row>
    <row r="154" spans="1:19" ht="24.9" customHeight="1" x14ac:dyDescent="0.25">
      <c r="A154" s="8">
        <v>152</v>
      </c>
      <c r="B154" s="4" t="s">
        <v>55</v>
      </c>
      <c r="C154" s="21" t="s">
        <v>357</v>
      </c>
      <c r="D154" s="21">
        <v>5800</v>
      </c>
      <c r="E154" s="21" t="s">
        <v>250</v>
      </c>
      <c r="F154" s="13">
        <v>1095</v>
      </c>
      <c r="G154" s="13" t="s">
        <v>563</v>
      </c>
      <c r="H154" s="13">
        <v>3</v>
      </c>
      <c r="I154" s="13">
        <v>60</v>
      </c>
      <c r="J154" s="8">
        <v>4</v>
      </c>
      <c r="K154" s="14" t="s">
        <v>569</v>
      </c>
      <c r="L154" s="10">
        <v>1</v>
      </c>
      <c r="M154" s="8">
        <v>1210</v>
      </c>
      <c r="N154" s="8" t="s">
        <v>563</v>
      </c>
      <c r="O154" s="23"/>
      <c r="P154" s="14">
        <f>D154-(F154+H154)*J154-M154-H154*L154</f>
        <v>195</v>
      </c>
      <c r="Q154" s="10">
        <f>P154-I154</f>
        <v>135</v>
      </c>
      <c r="R154" s="26">
        <f>(D154-P154)/D154</f>
        <v>0.9663793103448276</v>
      </c>
    </row>
    <row r="155" spans="1:19" ht="24.9" customHeight="1" x14ac:dyDescent="0.25">
      <c r="A155" s="8">
        <v>153</v>
      </c>
      <c r="B155" s="4" t="s">
        <v>141</v>
      </c>
      <c r="C155" s="21" t="s">
        <v>357</v>
      </c>
      <c r="D155" s="21">
        <v>5800</v>
      </c>
      <c r="E155" s="21" t="s">
        <v>250</v>
      </c>
      <c r="F155" s="13">
        <v>1120</v>
      </c>
      <c r="G155" s="13" t="s">
        <v>563</v>
      </c>
      <c r="H155" s="13">
        <v>3</v>
      </c>
      <c r="I155" s="13">
        <v>60</v>
      </c>
      <c r="J155" s="8">
        <v>5</v>
      </c>
      <c r="K155" s="14" t="s">
        <v>251</v>
      </c>
      <c r="L155" s="14">
        <v>0</v>
      </c>
      <c r="M155" s="8">
        <v>0</v>
      </c>
      <c r="N155" s="8"/>
      <c r="O155" s="23"/>
      <c r="P155" s="14">
        <f>D155-(F155+H155)*J155-M155-H155*L155</f>
        <v>185</v>
      </c>
      <c r="Q155" s="10">
        <f>P155-I155</f>
        <v>125</v>
      </c>
      <c r="R155" s="26">
        <f>(D155-P155)/D155</f>
        <v>0.96810344827586203</v>
      </c>
    </row>
    <row r="156" spans="1:19" ht="24.9" customHeight="1" x14ac:dyDescent="0.25">
      <c r="A156" s="8">
        <v>154</v>
      </c>
      <c r="B156" s="4" t="s">
        <v>170</v>
      </c>
      <c r="C156" s="21" t="s">
        <v>357</v>
      </c>
      <c r="D156" s="21">
        <v>5800</v>
      </c>
      <c r="E156" s="21" t="s">
        <v>250</v>
      </c>
      <c r="F156" s="13">
        <v>1163</v>
      </c>
      <c r="G156" s="13" t="s">
        <v>563</v>
      </c>
      <c r="H156" s="13">
        <v>3</v>
      </c>
      <c r="I156" s="13">
        <v>60</v>
      </c>
      <c r="J156" s="8">
        <v>4</v>
      </c>
      <c r="K156" s="14" t="s">
        <v>399</v>
      </c>
      <c r="L156" s="10">
        <v>1</v>
      </c>
      <c r="M156" s="8">
        <v>1010</v>
      </c>
      <c r="N156" s="8" t="s">
        <v>563</v>
      </c>
      <c r="O156" s="24"/>
      <c r="P156" s="14">
        <f>D156-(F156+H156)*J156-M156-H156*L156</f>
        <v>123</v>
      </c>
      <c r="Q156" s="10">
        <f>P156-I156</f>
        <v>63</v>
      </c>
      <c r="R156" s="26">
        <f>(D156-P156)/D156</f>
        <v>0.97879310344827586</v>
      </c>
      <c r="S156" s="27" t="s">
        <v>408</v>
      </c>
    </row>
    <row r="157" spans="1:19" ht="24.9" customHeight="1" x14ac:dyDescent="0.25">
      <c r="A157" s="8">
        <v>155</v>
      </c>
      <c r="B157" s="4" t="s">
        <v>210</v>
      </c>
      <c r="C157" s="21" t="s">
        <v>357</v>
      </c>
      <c r="D157" s="21">
        <v>5800</v>
      </c>
      <c r="E157" s="21" t="s">
        <v>250</v>
      </c>
      <c r="F157" s="8">
        <v>1108</v>
      </c>
      <c r="G157" s="8" t="s">
        <v>563</v>
      </c>
      <c r="H157" s="8">
        <v>3</v>
      </c>
      <c r="I157" s="13">
        <v>60</v>
      </c>
      <c r="J157" s="8">
        <v>4</v>
      </c>
      <c r="K157" s="14" t="s">
        <v>569</v>
      </c>
      <c r="L157" s="10">
        <v>1</v>
      </c>
      <c r="M157" s="8">
        <v>1210</v>
      </c>
      <c r="N157" s="8" t="s">
        <v>563</v>
      </c>
      <c r="O157" s="24"/>
      <c r="P157" s="14">
        <f>D157-(F157+H157)*J157-M157-H157*L157</f>
        <v>143</v>
      </c>
      <c r="Q157" s="10">
        <f>P157-I157</f>
        <v>83</v>
      </c>
      <c r="R157" s="26">
        <f>(D157-P157)/D157</f>
        <v>0.97534482758620689</v>
      </c>
    </row>
    <row r="158" spans="1:19" ht="24.9" customHeight="1" x14ac:dyDescent="0.25">
      <c r="A158" s="8">
        <v>156</v>
      </c>
      <c r="B158" s="4" t="s">
        <v>217</v>
      </c>
      <c r="C158" s="21" t="s">
        <v>357</v>
      </c>
      <c r="D158" s="21">
        <v>5800</v>
      </c>
      <c r="E158" s="21" t="s">
        <v>250</v>
      </c>
      <c r="F158" s="8">
        <v>1370</v>
      </c>
      <c r="G158" s="8" t="s">
        <v>563</v>
      </c>
      <c r="H158" s="13">
        <v>3</v>
      </c>
      <c r="I158" s="13">
        <v>60</v>
      </c>
      <c r="J158" s="8">
        <v>4</v>
      </c>
      <c r="K158" s="14" t="s">
        <v>376</v>
      </c>
      <c r="L158" s="14">
        <v>0</v>
      </c>
      <c r="M158" s="8">
        <v>0</v>
      </c>
      <c r="N158" s="8"/>
      <c r="O158" s="24"/>
      <c r="P158" s="14">
        <f>D158-(F158+H158)*J158-M158-H158*L158</f>
        <v>308</v>
      </c>
      <c r="Q158" s="10">
        <f>P158-I158</f>
        <v>248</v>
      </c>
      <c r="R158" s="26">
        <f>(D158-P158)/D158</f>
        <v>0.94689655172413789</v>
      </c>
    </row>
    <row r="159" spans="1:19" ht="24.9" customHeight="1" x14ac:dyDescent="0.25">
      <c r="A159" s="8">
        <v>157</v>
      </c>
      <c r="B159" s="4" t="s">
        <v>218</v>
      </c>
      <c r="C159" s="21" t="s">
        <v>357</v>
      </c>
      <c r="D159" s="21">
        <v>5800</v>
      </c>
      <c r="E159" s="21" t="s">
        <v>250</v>
      </c>
      <c r="F159" s="8">
        <v>1142</v>
      </c>
      <c r="G159" s="8" t="s">
        <v>563</v>
      </c>
      <c r="H159" s="13">
        <v>3</v>
      </c>
      <c r="I159" s="13">
        <v>60</v>
      </c>
      <c r="J159" s="8">
        <v>5</v>
      </c>
      <c r="K159" s="14" t="s">
        <v>251</v>
      </c>
      <c r="L159" s="14">
        <v>0</v>
      </c>
      <c r="M159" s="8">
        <v>0</v>
      </c>
      <c r="N159" s="8"/>
      <c r="O159" s="24"/>
      <c r="P159" s="14">
        <f>D159-(F159+H159)*J159-M159-H159*L159</f>
        <v>75</v>
      </c>
      <c r="Q159" s="10">
        <f>P159-I159</f>
        <v>15</v>
      </c>
      <c r="R159" s="26">
        <f>(D159-P159)/D159</f>
        <v>0.98706896551724133</v>
      </c>
    </row>
    <row r="160" spans="1:19" ht="24.9" customHeight="1" x14ac:dyDescent="0.25">
      <c r="A160" s="8">
        <v>158</v>
      </c>
      <c r="B160" s="4" t="s">
        <v>219</v>
      </c>
      <c r="C160" s="21" t="s">
        <v>357</v>
      </c>
      <c r="D160" s="21">
        <v>5800</v>
      </c>
      <c r="E160" s="21" t="s">
        <v>250</v>
      </c>
      <c r="F160" s="8">
        <v>952</v>
      </c>
      <c r="G160" s="8" t="s">
        <v>563</v>
      </c>
      <c r="H160" s="13">
        <v>3</v>
      </c>
      <c r="I160" s="13">
        <v>60</v>
      </c>
      <c r="J160" s="8">
        <v>6</v>
      </c>
      <c r="K160" s="14" t="s">
        <v>251</v>
      </c>
      <c r="L160" s="14">
        <v>0</v>
      </c>
      <c r="M160" s="8">
        <v>0</v>
      </c>
      <c r="N160" s="8"/>
      <c r="O160" s="24"/>
      <c r="P160" s="14">
        <f>D160-(F160+H160)*J160-M160-H160*L160</f>
        <v>70</v>
      </c>
      <c r="Q160" s="10">
        <f>P160-I160</f>
        <v>10</v>
      </c>
      <c r="R160" s="26">
        <f>(D160-P160)/D160</f>
        <v>0.98793103448275865</v>
      </c>
    </row>
    <row r="161" spans="1:19" ht="24.9" customHeight="1" x14ac:dyDescent="0.25">
      <c r="A161" s="8">
        <v>159</v>
      </c>
      <c r="B161" s="4" t="s">
        <v>210</v>
      </c>
      <c r="C161" s="21" t="s">
        <v>357</v>
      </c>
      <c r="D161" s="21">
        <v>5800</v>
      </c>
      <c r="E161" s="21" t="s">
        <v>250</v>
      </c>
      <c r="F161" s="8">
        <v>1108</v>
      </c>
      <c r="G161" s="8" t="s">
        <v>563</v>
      </c>
      <c r="H161" s="8">
        <v>3</v>
      </c>
      <c r="I161" s="13">
        <v>60</v>
      </c>
      <c r="J161" s="8">
        <v>4</v>
      </c>
      <c r="K161" s="14" t="s">
        <v>569</v>
      </c>
      <c r="L161" s="10">
        <v>1</v>
      </c>
      <c r="M161" s="8">
        <v>1210</v>
      </c>
      <c r="N161" s="8" t="s">
        <v>563</v>
      </c>
      <c r="O161" s="24"/>
      <c r="P161" s="14">
        <f>D161-(F161+H161)*J161-M161-H161*L161</f>
        <v>143</v>
      </c>
      <c r="Q161" s="10">
        <f>P161-I161</f>
        <v>83</v>
      </c>
      <c r="R161" s="26">
        <f>(D161-P161)/D161</f>
        <v>0.97534482758620689</v>
      </c>
    </row>
    <row r="162" spans="1:19" ht="24.9" customHeight="1" x14ac:dyDescent="0.25">
      <c r="A162" s="8">
        <v>160</v>
      </c>
      <c r="B162" s="11" t="s">
        <v>411</v>
      </c>
      <c r="C162" s="13" t="s">
        <v>357</v>
      </c>
      <c r="D162" s="13">
        <v>6300</v>
      </c>
      <c r="E162" s="13" t="s">
        <v>250</v>
      </c>
      <c r="F162" s="8">
        <v>1300</v>
      </c>
      <c r="G162" s="8" t="s">
        <v>563</v>
      </c>
      <c r="H162" s="8">
        <v>3</v>
      </c>
      <c r="I162" s="13">
        <v>60</v>
      </c>
      <c r="J162" s="8">
        <v>4</v>
      </c>
      <c r="K162" s="14" t="s">
        <v>399</v>
      </c>
      <c r="L162" s="10">
        <v>1</v>
      </c>
      <c r="M162" s="8">
        <v>1010</v>
      </c>
      <c r="N162" s="8" t="s">
        <v>563</v>
      </c>
      <c r="O162" s="24"/>
      <c r="P162" s="14">
        <f>D162-(F162+H162)*J162-M162-H162*L162</f>
        <v>75</v>
      </c>
      <c r="Q162" s="10">
        <f>P162-I162</f>
        <v>15</v>
      </c>
      <c r="R162" s="26">
        <f>(D162-P162)/D162</f>
        <v>0.98809523809523814</v>
      </c>
      <c r="S162" s="7" t="s">
        <v>406</v>
      </c>
    </row>
    <row r="163" spans="1:19" ht="24.9" customHeight="1" x14ac:dyDescent="0.25">
      <c r="A163" s="8">
        <v>161</v>
      </c>
      <c r="B163" s="11" t="s">
        <v>412</v>
      </c>
      <c r="C163" s="13" t="s">
        <v>357</v>
      </c>
      <c r="D163" s="13">
        <v>6100</v>
      </c>
      <c r="E163" s="13" t="s">
        <v>250</v>
      </c>
      <c r="F163" s="8">
        <v>1160</v>
      </c>
      <c r="G163" s="8" t="s">
        <v>563</v>
      </c>
      <c r="H163" s="13">
        <v>3</v>
      </c>
      <c r="I163" s="13">
        <v>60</v>
      </c>
      <c r="J163" s="8">
        <v>5</v>
      </c>
      <c r="K163" s="14" t="s">
        <v>251</v>
      </c>
      <c r="L163" s="14">
        <v>0</v>
      </c>
      <c r="M163" s="8">
        <v>0</v>
      </c>
      <c r="N163" s="8"/>
      <c r="O163" s="24"/>
      <c r="P163" s="14">
        <f>D163-(F163+H163)*J163-M163-H163*L163</f>
        <v>285</v>
      </c>
      <c r="Q163" s="10">
        <f>P163-I163</f>
        <v>225</v>
      </c>
      <c r="R163" s="26">
        <f>(D163-P163)/D163</f>
        <v>0.95327868852459019</v>
      </c>
      <c r="S163" s="7" t="s">
        <v>406</v>
      </c>
    </row>
    <row r="164" spans="1:19" ht="24.9" customHeight="1" x14ac:dyDescent="0.25">
      <c r="A164" s="8">
        <v>162</v>
      </c>
      <c r="B164" s="11" t="s">
        <v>155</v>
      </c>
      <c r="C164" s="21" t="s">
        <v>357</v>
      </c>
      <c r="D164" s="21">
        <v>5800</v>
      </c>
      <c r="E164" s="21" t="s">
        <v>250</v>
      </c>
      <c r="F164" s="8">
        <v>1088</v>
      </c>
      <c r="G164" s="8" t="s">
        <v>563</v>
      </c>
      <c r="H164" s="8">
        <v>3</v>
      </c>
      <c r="I164" s="13">
        <v>60</v>
      </c>
      <c r="J164" s="8">
        <v>4</v>
      </c>
      <c r="K164" s="14" t="s">
        <v>569</v>
      </c>
      <c r="L164" s="10">
        <v>1</v>
      </c>
      <c r="M164" s="8">
        <v>1210</v>
      </c>
      <c r="N164" s="8" t="s">
        <v>563</v>
      </c>
      <c r="O164" s="24"/>
      <c r="P164" s="14">
        <f>D164-(F164+H164)*J164-M164-H164*L164</f>
        <v>223</v>
      </c>
      <c r="Q164" s="10">
        <f>P164-I164</f>
        <v>163</v>
      </c>
      <c r="R164" s="26">
        <f>(D164-P164)/D164</f>
        <v>0.961551724137931</v>
      </c>
    </row>
    <row r="165" spans="1:19" ht="24.9" customHeight="1" x14ac:dyDescent="0.25">
      <c r="A165" s="8">
        <v>163</v>
      </c>
      <c r="B165" s="4" t="s">
        <v>211</v>
      </c>
      <c r="C165" s="21" t="s">
        <v>357</v>
      </c>
      <c r="D165" s="21">
        <v>5800</v>
      </c>
      <c r="E165" s="21" t="s">
        <v>250</v>
      </c>
      <c r="F165" s="8">
        <v>699.5</v>
      </c>
      <c r="G165" s="8" t="s">
        <v>563</v>
      </c>
      <c r="H165" s="13">
        <v>3</v>
      </c>
      <c r="I165" s="13">
        <v>60</v>
      </c>
      <c r="J165" s="8">
        <v>8</v>
      </c>
      <c r="K165" s="14" t="s">
        <v>251</v>
      </c>
      <c r="L165" s="14">
        <v>0</v>
      </c>
      <c r="M165" s="8">
        <v>0</v>
      </c>
      <c r="N165" s="8"/>
      <c r="O165" s="23" t="s">
        <v>22</v>
      </c>
      <c r="P165" s="14">
        <f>D165-(F165+H165)*J165-M165-H165*L165</f>
        <v>180</v>
      </c>
      <c r="Q165" s="10">
        <f>P165-I165</f>
        <v>120</v>
      </c>
      <c r="R165" s="26">
        <f>(D165-P165)/D165</f>
        <v>0.96896551724137936</v>
      </c>
    </row>
    <row r="166" spans="1:19" ht="24.9" customHeight="1" x14ac:dyDescent="0.25">
      <c r="A166" s="8">
        <v>164</v>
      </c>
      <c r="B166" s="4" t="s">
        <v>212</v>
      </c>
      <c r="C166" s="21" t="s">
        <v>357</v>
      </c>
      <c r="D166" s="21">
        <v>5800</v>
      </c>
      <c r="E166" s="21" t="s">
        <v>250</v>
      </c>
      <c r="F166" s="8">
        <v>698.5</v>
      </c>
      <c r="G166" s="8" t="s">
        <v>563</v>
      </c>
      <c r="H166" s="13">
        <v>3</v>
      </c>
      <c r="I166" s="13">
        <v>60</v>
      </c>
      <c r="J166" s="8">
        <v>8</v>
      </c>
      <c r="K166" s="14" t="s">
        <v>251</v>
      </c>
      <c r="L166" s="14">
        <v>0</v>
      </c>
      <c r="M166" s="8">
        <v>0</v>
      </c>
      <c r="N166" s="8"/>
      <c r="O166" s="23" t="s">
        <v>22</v>
      </c>
      <c r="P166" s="14">
        <f>D166-(F166+H166)*J166-M166-H166*L166</f>
        <v>188</v>
      </c>
      <c r="Q166" s="10">
        <f>P166-I166</f>
        <v>128</v>
      </c>
      <c r="R166" s="26">
        <f>(D166-P166)/D166</f>
        <v>0.96758620689655173</v>
      </c>
    </row>
    <row r="167" spans="1:19" ht="24.9" customHeight="1" x14ac:dyDescent="0.25">
      <c r="A167" s="8">
        <v>165</v>
      </c>
      <c r="B167" s="20" t="s">
        <v>551</v>
      </c>
      <c r="C167" s="21" t="s">
        <v>357</v>
      </c>
      <c r="D167" s="21">
        <v>5800</v>
      </c>
      <c r="E167" s="21" t="s">
        <v>250</v>
      </c>
      <c r="F167" s="8">
        <v>624</v>
      </c>
      <c r="G167" s="8" t="s">
        <v>563</v>
      </c>
      <c r="H167" s="13">
        <v>3</v>
      </c>
      <c r="I167" s="13">
        <v>60</v>
      </c>
      <c r="J167" s="8">
        <v>9</v>
      </c>
      <c r="K167" s="14" t="s">
        <v>251</v>
      </c>
      <c r="L167" s="14">
        <v>0</v>
      </c>
      <c r="M167" s="8">
        <v>0</v>
      </c>
      <c r="N167" s="8"/>
      <c r="O167" s="23" t="s">
        <v>22</v>
      </c>
      <c r="P167" s="14">
        <f>D167-(F167+H167)*J167-M167-H167*L167</f>
        <v>157</v>
      </c>
      <c r="Q167" s="10">
        <f>P167-I167</f>
        <v>97</v>
      </c>
      <c r="R167" s="26">
        <f>(D167-P167)/D167</f>
        <v>0.97293103448275864</v>
      </c>
    </row>
    <row r="168" spans="1:19" ht="24.9" customHeight="1" x14ac:dyDescent="0.25">
      <c r="A168" s="8">
        <v>166</v>
      </c>
      <c r="B168" s="4" t="s">
        <v>185</v>
      </c>
      <c r="C168" s="21" t="s">
        <v>357</v>
      </c>
      <c r="D168" s="21">
        <v>5800</v>
      </c>
      <c r="E168" s="21" t="s">
        <v>250</v>
      </c>
      <c r="F168" s="8">
        <v>785</v>
      </c>
      <c r="G168" s="8" t="s">
        <v>563</v>
      </c>
      <c r="H168" s="8">
        <v>2</v>
      </c>
      <c r="I168" s="13">
        <v>60</v>
      </c>
      <c r="J168" s="8">
        <v>6</v>
      </c>
      <c r="K168" s="14" t="s">
        <v>570</v>
      </c>
      <c r="L168" s="10">
        <v>1</v>
      </c>
      <c r="M168" s="8">
        <v>1010</v>
      </c>
      <c r="N168" s="8" t="s">
        <v>563</v>
      </c>
      <c r="O168" s="23" t="s">
        <v>22</v>
      </c>
      <c r="P168" s="14">
        <f>D168-(F168+H168)*J168-M168-H168*L168</f>
        <v>66</v>
      </c>
      <c r="Q168" s="10">
        <f>P168-I168</f>
        <v>6</v>
      </c>
      <c r="R168" s="26">
        <f>(D168-P168)/D168</f>
        <v>0.98862068965517247</v>
      </c>
    </row>
    <row r="169" spans="1:19" ht="24.9" customHeight="1" x14ac:dyDescent="0.25">
      <c r="A169" s="8">
        <v>167</v>
      </c>
      <c r="B169" s="19" t="s">
        <v>188</v>
      </c>
      <c r="C169" s="21" t="s">
        <v>357</v>
      </c>
      <c r="D169" s="21">
        <v>6100</v>
      </c>
      <c r="E169" s="21" t="s">
        <v>250</v>
      </c>
      <c r="F169" s="8">
        <v>689</v>
      </c>
      <c r="G169" s="8" t="s">
        <v>563</v>
      </c>
      <c r="H169" s="8">
        <v>2</v>
      </c>
      <c r="I169" s="13">
        <v>60</v>
      </c>
      <c r="J169" s="8">
        <v>7</v>
      </c>
      <c r="K169" s="14" t="s">
        <v>578</v>
      </c>
      <c r="L169" s="10">
        <v>1</v>
      </c>
      <c r="M169" s="8">
        <v>1190</v>
      </c>
      <c r="N169" s="8" t="s">
        <v>563</v>
      </c>
      <c r="O169" s="23" t="s">
        <v>22</v>
      </c>
      <c r="P169" s="14">
        <f>D169-(F169+H169)*J169-M169-H169*L169</f>
        <v>71</v>
      </c>
      <c r="Q169" s="10">
        <f>P169-I169</f>
        <v>11</v>
      </c>
      <c r="R169" s="26">
        <f>(D169-P169)/D169</f>
        <v>0.98836065573770493</v>
      </c>
    </row>
    <row r="170" spans="1:19" ht="24.9" customHeight="1" x14ac:dyDescent="0.25">
      <c r="A170" s="8">
        <v>168</v>
      </c>
      <c r="B170" s="4" t="s">
        <v>189</v>
      </c>
      <c r="C170" s="21" t="s">
        <v>357</v>
      </c>
      <c r="D170" s="21">
        <v>6100</v>
      </c>
      <c r="E170" s="21" t="s">
        <v>250</v>
      </c>
      <c r="F170" s="8">
        <v>768</v>
      </c>
      <c r="G170" s="8" t="s">
        <v>563</v>
      </c>
      <c r="H170" s="8">
        <v>2</v>
      </c>
      <c r="I170" s="13">
        <v>60</v>
      </c>
      <c r="J170" s="8">
        <v>6</v>
      </c>
      <c r="K170" s="14" t="s">
        <v>569</v>
      </c>
      <c r="L170" s="10">
        <v>1</v>
      </c>
      <c r="M170" s="8">
        <v>1210</v>
      </c>
      <c r="N170" s="8" t="s">
        <v>563</v>
      </c>
      <c r="O170" s="23" t="s">
        <v>22</v>
      </c>
      <c r="P170" s="14">
        <f>D170-(F170+H170)*J170-M170-H170*L170</f>
        <v>268</v>
      </c>
      <c r="Q170" s="10">
        <f>P170-I170</f>
        <v>208</v>
      </c>
      <c r="R170" s="26">
        <f>(D170-P170)/D170</f>
        <v>0.95606557377049184</v>
      </c>
    </row>
    <row r="171" spans="1:19" ht="24.9" customHeight="1" x14ac:dyDescent="0.25">
      <c r="A171" s="8">
        <v>169</v>
      </c>
      <c r="B171" s="4" t="s">
        <v>193</v>
      </c>
      <c r="C171" s="21" t="s">
        <v>357</v>
      </c>
      <c r="D171" s="21">
        <v>5800</v>
      </c>
      <c r="E171" s="21" t="s">
        <v>250</v>
      </c>
      <c r="F171" s="8">
        <v>465</v>
      </c>
      <c r="G171" s="8" t="s">
        <v>575</v>
      </c>
      <c r="H171" s="13">
        <v>3</v>
      </c>
      <c r="I171" s="13">
        <v>60</v>
      </c>
      <c r="J171" s="8">
        <v>12</v>
      </c>
      <c r="K171" s="14" t="s">
        <v>251</v>
      </c>
      <c r="L171" s="14">
        <v>0</v>
      </c>
      <c r="M171" s="8">
        <v>0</v>
      </c>
      <c r="N171" s="8"/>
      <c r="O171" s="23" t="s">
        <v>22</v>
      </c>
      <c r="P171" s="14">
        <f>D171-(F171+H171)*J171-M171-H171*L171</f>
        <v>184</v>
      </c>
      <c r="Q171" s="10">
        <f>P171-I171</f>
        <v>124</v>
      </c>
      <c r="R171" s="26">
        <f>(D171-P171)/D171</f>
        <v>0.96827586206896554</v>
      </c>
    </row>
    <row r="172" spans="1:19" ht="24.9" customHeight="1" x14ac:dyDescent="0.25">
      <c r="A172" s="8">
        <v>170</v>
      </c>
      <c r="B172" s="4" t="s">
        <v>197</v>
      </c>
      <c r="C172" s="21" t="s">
        <v>357</v>
      </c>
      <c r="D172" s="21">
        <v>6100</v>
      </c>
      <c r="E172" s="21" t="s">
        <v>250</v>
      </c>
      <c r="F172" s="8">
        <v>686</v>
      </c>
      <c r="G172" s="8" t="s">
        <v>563</v>
      </c>
      <c r="H172" s="8">
        <v>2</v>
      </c>
      <c r="I172" s="13">
        <v>60</v>
      </c>
      <c r="J172" s="8">
        <v>7</v>
      </c>
      <c r="K172" s="14" t="s">
        <v>578</v>
      </c>
      <c r="L172" s="10">
        <v>1</v>
      </c>
      <c r="M172" s="8">
        <v>1190</v>
      </c>
      <c r="N172" s="8" t="s">
        <v>563</v>
      </c>
      <c r="O172" s="23" t="s">
        <v>22</v>
      </c>
      <c r="P172" s="14">
        <f>D172-(F172+H172)*J172-M172-H172*L172</f>
        <v>92</v>
      </c>
      <c r="Q172" s="10">
        <f>P172-I172</f>
        <v>32</v>
      </c>
      <c r="R172" s="26">
        <f>(D172-P172)/D172</f>
        <v>0.98491803278688528</v>
      </c>
    </row>
    <row r="173" spans="1:19" ht="24.9" customHeight="1" x14ac:dyDescent="0.25">
      <c r="A173" s="8">
        <v>171</v>
      </c>
      <c r="B173" s="4" t="s">
        <v>135</v>
      </c>
      <c r="C173" s="21" t="s">
        <v>357</v>
      </c>
      <c r="D173" s="21">
        <v>5800</v>
      </c>
      <c r="E173" s="21" t="s">
        <v>250</v>
      </c>
      <c r="F173" s="8">
        <v>785</v>
      </c>
      <c r="G173" s="8" t="s">
        <v>563</v>
      </c>
      <c r="H173" s="8">
        <v>2</v>
      </c>
      <c r="I173" s="13">
        <v>60</v>
      </c>
      <c r="J173" s="8">
        <v>6</v>
      </c>
      <c r="K173" s="14" t="s">
        <v>570</v>
      </c>
      <c r="L173" s="10">
        <v>1</v>
      </c>
      <c r="M173" s="8">
        <v>1010</v>
      </c>
      <c r="N173" s="8" t="s">
        <v>563</v>
      </c>
      <c r="O173" s="23" t="s">
        <v>22</v>
      </c>
      <c r="P173" s="14">
        <f>D173-(F173+H173)*J173-M173-H173*L173</f>
        <v>66</v>
      </c>
      <c r="Q173" s="10">
        <f>P173-I173</f>
        <v>6</v>
      </c>
      <c r="R173" s="26">
        <f>(D173-P173)/D173</f>
        <v>0.98862068965517247</v>
      </c>
    </row>
    <row r="174" spans="1:19" ht="24.9" customHeight="1" x14ac:dyDescent="0.25">
      <c r="A174" s="8">
        <v>172</v>
      </c>
      <c r="B174" s="4" t="s">
        <v>200</v>
      </c>
      <c r="C174" s="21" t="s">
        <v>357</v>
      </c>
      <c r="D174" s="21">
        <v>5800</v>
      </c>
      <c r="E174" s="21" t="s">
        <v>250</v>
      </c>
      <c r="F174" s="8">
        <v>695.5</v>
      </c>
      <c r="G174" s="8" t="s">
        <v>563</v>
      </c>
      <c r="H174" s="13">
        <v>3</v>
      </c>
      <c r="I174" s="13">
        <v>60</v>
      </c>
      <c r="J174" s="8">
        <v>8</v>
      </c>
      <c r="K174" s="14" t="s">
        <v>251</v>
      </c>
      <c r="L174" s="14">
        <v>0</v>
      </c>
      <c r="M174" s="8">
        <v>0</v>
      </c>
      <c r="N174" s="8"/>
      <c r="O174" s="23" t="s">
        <v>22</v>
      </c>
      <c r="P174" s="14">
        <f>D174-(F174+H174)*J174-M174-H174*L174</f>
        <v>212</v>
      </c>
      <c r="Q174" s="10">
        <f>P174-I174</f>
        <v>152</v>
      </c>
      <c r="R174" s="26">
        <f>(D174-P174)/D174</f>
        <v>0.96344827586206894</v>
      </c>
    </row>
    <row r="175" spans="1:19" ht="24.9" customHeight="1" x14ac:dyDescent="0.25">
      <c r="A175" s="8">
        <v>173</v>
      </c>
      <c r="B175" s="4" t="s">
        <v>201</v>
      </c>
      <c r="C175" s="21" t="s">
        <v>357</v>
      </c>
      <c r="D175" s="21">
        <v>6300</v>
      </c>
      <c r="E175" s="21" t="s">
        <v>250</v>
      </c>
      <c r="F175" s="8">
        <v>692</v>
      </c>
      <c r="G175" s="8" t="s">
        <v>563</v>
      </c>
      <c r="H175" s="8">
        <v>2</v>
      </c>
      <c r="I175" s="13">
        <v>60</v>
      </c>
      <c r="J175" s="8">
        <v>7</v>
      </c>
      <c r="K175" s="14" t="s">
        <v>569</v>
      </c>
      <c r="L175" s="10">
        <v>1</v>
      </c>
      <c r="M175" s="8">
        <v>1210</v>
      </c>
      <c r="N175" s="8" t="s">
        <v>563</v>
      </c>
      <c r="O175" s="23" t="s">
        <v>22</v>
      </c>
      <c r="P175" s="14">
        <f>D175-(F175+H175)*J175-M175-H175*L175</f>
        <v>230</v>
      </c>
      <c r="Q175" s="10">
        <f>P175-I175</f>
        <v>170</v>
      </c>
      <c r="R175" s="26">
        <f>(D175-P175)/D175</f>
        <v>0.96349206349206351</v>
      </c>
    </row>
    <row r="176" spans="1:19" ht="24.9" customHeight="1" x14ac:dyDescent="0.25">
      <c r="A176" s="8">
        <v>174</v>
      </c>
      <c r="B176" s="4" t="s">
        <v>119</v>
      </c>
      <c r="C176" s="21" t="s">
        <v>357</v>
      </c>
      <c r="D176" s="21">
        <v>5800</v>
      </c>
      <c r="E176" s="21" t="s">
        <v>250</v>
      </c>
      <c r="F176" s="8">
        <v>624.5</v>
      </c>
      <c r="G176" s="8" t="s">
        <v>563</v>
      </c>
      <c r="H176" s="13">
        <v>3</v>
      </c>
      <c r="I176" s="13">
        <v>60</v>
      </c>
      <c r="J176" s="8">
        <v>9</v>
      </c>
      <c r="K176" s="14" t="s">
        <v>251</v>
      </c>
      <c r="L176" s="14">
        <v>0</v>
      </c>
      <c r="M176" s="8">
        <v>0</v>
      </c>
      <c r="N176" s="8"/>
      <c r="O176" s="23" t="s">
        <v>22</v>
      </c>
      <c r="P176" s="14">
        <f>D176-(F176+H176)*J176-M176-H176*L176</f>
        <v>152.5</v>
      </c>
      <c r="Q176" s="10">
        <f>P176-I176</f>
        <v>92.5</v>
      </c>
      <c r="R176" s="26">
        <f>(D176-P176)/D176</f>
        <v>0.97370689655172415</v>
      </c>
    </row>
    <row r="177" spans="1:19" ht="24.9" customHeight="1" x14ac:dyDescent="0.25">
      <c r="A177" s="8">
        <v>175</v>
      </c>
      <c r="B177" s="4" t="s">
        <v>205</v>
      </c>
      <c r="C177" s="21" t="s">
        <v>357</v>
      </c>
      <c r="D177" s="21">
        <v>5800</v>
      </c>
      <c r="E177" s="21" t="s">
        <v>250</v>
      </c>
      <c r="F177" s="8">
        <v>465.5</v>
      </c>
      <c r="G177" s="8" t="s">
        <v>563</v>
      </c>
      <c r="H177" s="13">
        <v>3</v>
      </c>
      <c r="I177" s="13">
        <v>60</v>
      </c>
      <c r="J177" s="8">
        <v>12</v>
      </c>
      <c r="K177" s="14" t="s">
        <v>251</v>
      </c>
      <c r="L177" s="14">
        <v>0</v>
      </c>
      <c r="M177" s="8">
        <v>0</v>
      </c>
      <c r="N177" s="8"/>
      <c r="O177" s="23" t="s">
        <v>22</v>
      </c>
      <c r="P177" s="14">
        <f>D177-(F177+H177)*J177-M177-H177*L177</f>
        <v>178</v>
      </c>
      <c r="Q177" s="10">
        <f>P177-I177</f>
        <v>118</v>
      </c>
      <c r="R177" s="26">
        <f>(D177-P177)/D177</f>
        <v>0.96931034482758616</v>
      </c>
    </row>
    <row r="178" spans="1:19" ht="24.9" customHeight="1" x14ac:dyDescent="0.25">
      <c r="A178" s="8">
        <v>176</v>
      </c>
      <c r="B178" s="4" t="s">
        <v>254</v>
      </c>
      <c r="C178" s="21" t="s">
        <v>357</v>
      </c>
      <c r="D178" s="21">
        <v>5800</v>
      </c>
      <c r="E178" s="21" t="s">
        <v>250</v>
      </c>
      <c r="F178" s="8">
        <v>695.5</v>
      </c>
      <c r="G178" s="8" t="s">
        <v>563</v>
      </c>
      <c r="H178" s="13">
        <v>3</v>
      </c>
      <c r="I178" s="13">
        <v>60</v>
      </c>
      <c r="J178" s="8">
        <v>8</v>
      </c>
      <c r="K178" s="14" t="s">
        <v>251</v>
      </c>
      <c r="L178" s="14">
        <v>0</v>
      </c>
      <c r="M178" s="8">
        <v>0</v>
      </c>
      <c r="N178" s="8"/>
      <c r="O178" s="23" t="s">
        <v>22</v>
      </c>
      <c r="P178" s="14">
        <f>D178-(F178+H178)*J178-M178-H178*L178</f>
        <v>212</v>
      </c>
      <c r="Q178" s="10">
        <f>P178-I178</f>
        <v>152</v>
      </c>
      <c r="R178" s="26">
        <f>(D178-P178)/D178</f>
        <v>0.96344827586206894</v>
      </c>
    </row>
    <row r="179" spans="1:19" ht="24.9" customHeight="1" x14ac:dyDescent="0.25">
      <c r="A179" s="8">
        <v>177</v>
      </c>
      <c r="B179" s="4" t="s">
        <v>207</v>
      </c>
      <c r="C179" s="13" t="s">
        <v>357</v>
      </c>
      <c r="D179" s="13">
        <v>5800</v>
      </c>
      <c r="E179" s="13" t="s">
        <v>250</v>
      </c>
      <c r="F179" s="8">
        <v>779.5</v>
      </c>
      <c r="G179" s="8" t="s">
        <v>563</v>
      </c>
      <c r="H179" s="8">
        <v>2</v>
      </c>
      <c r="I179" s="13">
        <v>60</v>
      </c>
      <c r="J179" s="8">
        <v>6</v>
      </c>
      <c r="K179" s="14" t="s">
        <v>570</v>
      </c>
      <c r="L179" s="10">
        <v>1</v>
      </c>
      <c r="M179" s="8">
        <v>1010</v>
      </c>
      <c r="N179" s="8" t="s">
        <v>563</v>
      </c>
      <c r="O179" s="23" t="s">
        <v>22</v>
      </c>
      <c r="P179" s="14">
        <f>D179-(F179+H179)*J179-M179-H179*L179</f>
        <v>99</v>
      </c>
      <c r="Q179" s="10">
        <f>P179-I179</f>
        <v>39</v>
      </c>
      <c r="R179" s="26">
        <f>(D179-P179)/D179</f>
        <v>0.98293103448275865</v>
      </c>
    </row>
    <row r="180" spans="1:19" ht="24.9" customHeight="1" x14ac:dyDescent="0.25">
      <c r="A180" s="8">
        <v>178</v>
      </c>
      <c r="B180" s="9" t="s">
        <v>34</v>
      </c>
      <c r="C180" s="21" t="s">
        <v>358</v>
      </c>
      <c r="D180" s="21">
        <v>6300</v>
      </c>
      <c r="E180" s="21" t="s">
        <v>250</v>
      </c>
      <c r="F180" s="8">
        <v>1035</v>
      </c>
      <c r="G180" s="8" t="s">
        <v>563</v>
      </c>
      <c r="H180" s="13">
        <v>3</v>
      </c>
      <c r="I180" s="13">
        <v>60</v>
      </c>
      <c r="J180" s="8">
        <v>6</v>
      </c>
      <c r="K180" s="10" t="s">
        <v>251</v>
      </c>
      <c r="L180" s="14">
        <v>0</v>
      </c>
      <c r="M180" s="8">
        <v>0</v>
      </c>
      <c r="N180" s="22"/>
      <c r="O180" s="23"/>
      <c r="P180" s="14">
        <f>D180-(F180+H180)*J180-M180-H180*L180</f>
        <v>72</v>
      </c>
      <c r="Q180" s="10">
        <f>P180-I180</f>
        <v>12</v>
      </c>
      <c r="R180" s="26">
        <f>(D180-P180)/D180</f>
        <v>0.98857142857142855</v>
      </c>
    </row>
    <row r="181" spans="1:19" ht="24.9" customHeight="1" x14ac:dyDescent="0.25">
      <c r="A181" s="8">
        <v>179</v>
      </c>
      <c r="B181" s="9" t="s">
        <v>35</v>
      </c>
      <c r="C181" s="21" t="s">
        <v>358</v>
      </c>
      <c r="D181" s="21">
        <v>6400</v>
      </c>
      <c r="E181" s="21" t="s">
        <v>250</v>
      </c>
      <c r="F181" s="8">
        <v>1055</v>
      </c>
      <c r="G181" s="8" t="s">
        <v>563</v>
      </c>
      <c r="H181" s="13">
        <v>2</v>
      </c>
      <c r="I181" s="13">
        <v>60</v>
      </c>
      <c r="J181" s="8">
        <v>6</v>
      </c>
      <c r="K181" s="14" t="s">
        <v>407</v>
      </c>
      <c r="L181" s="14">
        <v>0</v>
      </c>
      <c r="M181" s="8">
        <v>0</v>
      </c>
      <c r="N181" s="8"/>
      <c r="O181" s="24"/>
      <c r="P181" s="14">
        <f>D181-(F181+H181)*J181-M181-H181*L181</f>
        <v>58</v>
      </c>
      <c r="Q181" s="10">
        <f>P181-I181</f>
        <v>-2</v>
      </c>
      <c r="R181" s="26">
        <f>(D181-P181)/D181</f>
        <v>0.99093750000000003</v>
      </c>
    </row>
    <row r="182" spans="1:19" s="15" customFormat="1" ht="24.9" customHeight="1" x14ac:dyDescent="0.25">
      <c r="A182" s="8">
        <v>180</v>
      </c>
      <c r="B182" s="18" t="s">
        <v>441</v>
      </c>
      <c r="C182" s="21" t="s">
        <v>358</v>
      </c>
      <c r="D182" s="21">
        <v>5700</v>
      </c>
      <c r="E182" s="21" t="s">
        <v>250</v>
      </c>
      <c r="F182" s="8">
        <v>1065</v>
      </c>
      <c r="G182" s="8" t="s">
        <v>563</v>
      </c>
      <c r="H182" s="8">
        <v>2</v>
      </c>
      <c r="I182" s="13">
        <v>60</v>
      </c>
      <c r="J182" s="8">
        <v>4</v>
      </c>
      <c r="K182" s="14" t="s">
        <v>435</v>
      </c>
      <c r="L182" s="10">
        <v>1</v>
      </c>
      <c r="M182" s="8">
        <v>1160</v>
      </c>
      <c r="N182" s="8" t="s">
        <v>563</v>
      </c>
      <c r="O182" s="23"/>
      <c r="P182" s="14">
        <f>D182-(F182+H182)*J182-M182-H182*L182</f>
        <v>270</v>
      </c>
      <c r="Q182" s="10">
        <f>P182-I182</f>
        <v>210</v>
      </c>
      <c r="R182" s="26">
        <f>(D182-P182)/D182</f>
        <v>0.95263157894736838</v>
      </c>
      <c r="S182" s="40" t="s">
        <v>491</v>
      </c>
    </row>
    <row r="183" spans="1:19" ht="24.9" customHeight="1" x14ac:dyDescent="0.25">
      <c r="A183" s="8">
        <v>181</v>
      </c>
      <c r="B183" s="6" t="s">
        <v>92</v>
      </c>
      <c r="C183" s="21" t="s">
        <v>358</v>
      </c>
      <c r="D183" s="21">
        <v>6400</v>
      </c>
      <c r="E183" s="21" t="s">
        <v>250</v>
      </c>
      <c r="F183" s="13">
        <v>1055</v>
      </c>
      <c r="G183" s="13" t="s">
        <v>563</v>
      </c>
      <c r="H183" s="13">
        <v>2</v>
      </c>
      <c r="I183" s="13">
        <v>60</v>
      </c>
      <c r="J183" s="8">
        <v>6</v>
      </c>
      <c r="K183" s="14" t="s">
        <v>407</v>
      </c>
      <c r="L183" s="14">
        <v>0</v>
      </c>
      <c r="M183" s="8">
        <v>0</v>
      </c>
      <c r="N183" s="8"/>
      <c r="O183" s="24"/>
      <c r="P183" s="14">
        <f>D183-(F183+H183)*J183-M183-H183*L183</f>
        <v>58</v>
      </c>
      <c r="Q183" s="10">
        <f>P183-I183</f>
        <v>-2</v>
      </c>
      <c r="R183" s="26">
        <f>(D183-P183)/D183</f>
        <v>0.99093750000000003</v>
      </c>
    </row>
    <row r="184" spans="1:19" ht="24.9" customHeight="1" x14ac:dyDescent="0.25">
      <c r="A184" s="8">
        <v>182</v>
      </c>
      <c r="B184" s="4" t="s">
        <v>160</v>
      </c>
      <c r="C184" s="21" t="s">
        <v>358</v>
      </c>
      <c r="D184" s="21">
        <v>6300</v>
      </c>
      <c r="E184" s="21" t="s">
        <v>250</v>
      </c>
      <c r="F184" s="13">
        <v>1030</v>
      </c>
      <c r="G184" s="13" t="s">
        <v>563</v>
      </c>
      <c r="H184" s="13">
        <v>2</v>
      </c>
      <c r="I184" s="13">
        <v>60</v>
      </c>
      <c r="J184" s="8">
        <v>6</v>
      </c>
      <c r="K184" s="14" t="s">
        <v>437</v>
      </c>
      <c r="L184" s="14">
        <v>0</v>
      </c>
      <c r="M184" s="8">
        <v>0</v>
      </c>
      <c r="N184" s="8"/>
      <c r="O184" s="24"/>
      <c r="P184" s="14">
        <f>D184-(F184+H184)*J184-M184-H184*L184</f>
        <v>108</v>
      </c>
      <c r="Q184" s="10">
        <f>P184-I184</f>
        <v>48</v>
      </c>
      <c r="R184" s="26">
        <f>(D184-P184)/D184</f>
        <v>0.98285714285714287</v>
      </c>
      <c r="S184" s="40" t="s">
        <v>438</v>
      </c>
    </row>
    <row r="185" spans="1:19" ht="24.9" customHeight="1" x14ac:dyDescent="0.25">
      <c r="A185" s="8">
        <v>183</v>
      </c>
      <c r="B185" s="4" t="s">
        <v>147</v>
      </c>
      <c r="C185" s="21" t="s">
        <v>358</v>
      </c>
      <c r="D185" s="21">
        <v>6300</v>
      </c>
      <c r="E185" s="21" t="s">
        <v>250</v>
      </c>
      <c r="F185" s="13">
        <v>1287</v>
      </c>
      <c r="G185" s="13" t="s">
        <v>563</v>
      </c>
      <c r="H185" s="13">
        <v>3</v>
      </c>
      <c r="I185" s="13">
        <v>60</v>
      </c>
      <c r="J185" s="8">
        <v>4</v>
      </c>
      <c r="K185" s="14" t="s">
        <v>571</v>
      </c>
      <c r="L185" s="10">
        <v>1</v>
      </c>
      <c r="M185" s="8">
        <v>1035</v>
      </c>
      <c r="N185" s="8" t="s">
        <v>563</v>
      </c>
      <c r="O185" s="23"/>
      <c r="P185" s="14">
        <f>D185-(F185+H185)*J185-M185-H185*L185</f>
        <v>102</v>
      </c>
      <c r="Q185" s="10">
        <f>P185-I185</f>
        <v>42</v>
      </c>
      <c r="R185" s="26">
        <f>(D185-P185)/D185</f>
        <v>0.9838095238095238</v>
      </c>
    </row>
    <row r="186" spans="1:19" ht="24.9" customHeight="1" x14ac:dyDescent="0.25">
      <c r="A186" s="8">
        <v>184</v>
      </c>
      <c r="B186" s="4" t="s">
        <v>167</v>
      </c>
      <c r="C186" s="21" t="s">
        <v>358</v>
      </c>
      <c r="D186" s="21">
        <v>6300</v>
      </c>
      <c r="E186" s="21" t="s">
        <v>250</v>
      </c>
      <c r="F186" s="8">
        <v>1032</v>
      </c>
      <c r="G186" s="8" t="s">
        <v>563</v>
      </c>
      <c r="H186" s="13">
        <v>3</v>
      </c>
      <c r="I186" s="13">
        <v>60</v>
      </c>
      <c r="J186" s="8">
        <v>6</v>
      </c>
      <c r="K186" s="14" t="s">
        <v>251</v>
      </c>
      <c r="L186" s="14">
        <v>0</v>
      </c>
      <c r="M186" s="8">
        <v>0</v>
      </c>
      <c r="N186" s="8"/>
      <c r="O186" s="24"/>
      <c r="P186" s="14">
        <f>D186-(F186+H186)*J186-M186-H186*L186</f>
        <v>90</v>
      </c>
      <c r="Q186" s="10">
        <f>P186-I186</f>
        <v>30</v>
      </c>
      <c r="R186" s="26">
        <f>(D186-P186)/D186</f>
        <v>0.98571428571428577</v>
      </c>
    </row>
    <row r="187" spans="1:19" ht="24.9" customHeight="1" x14ac:dyDescent="0.25">
      <c r="A187" s="8">
        <v>185</v>
      </c>
      <c r="B187" s="4" t="s">
        <v>148</v>
      </c>
      <c r="C187" s="21" t="s">
        <v>358</v>
      </c>
      <c r="D187" s="21">
        <v>6300</v>
      </c>
      <c r="E187" s="21" t="s">
        <v>250</v>
      </c>
      <c r="F187" s="13">
        <v>1281</v>
      </c>
      <c r="G187" s="13" t="s">
        <v>563</v>
      </c>
      <c r="H187" s="13">
        <v>3</v>
      </c>
      <c r="I187" s="13">
        <v>60</v>
      </c>
      <c r="J187" s="8">
        <v>4</v>
      </c>
      <c r="K187" s="14" t="s">
        <v>559</v>
      </c>
      <c r="L187" s="10">
        <v>1</v>
      </c>
      <c r="M187" s="8">
        <v>1080</v>
      </c>
      <c r="N187" s="8" t="s">
        <v>563</v>
      </c>
      <c r="O187" s="24"/>
      <c r="P187" s="14">
        <f>D187-(F187+H187)*J187-M187-H187*L187</f>
        <v>81</v>
      </c>
      <c r="Q187" s="10">
        <f>P187-I187</f>
        <v>21</v>
      </c>
      <c r="R187" s="26">
        <f>(D187-P187)/D187</f>
        <v>0.9871428571428571</v>
      </c>
    </row>
    <row r="188" spans="1:19" ht="24.9" customHeight="1" x14ac:dyDescent="0.25">
      <c r="A188" s="8">
        <v>186</v>
      </c>
      <c r="B188" s="4" t="s">
        <v>165</v>
      </c>
      <c r="C188" s="21" t="s">
        <v>358</v>
      </c>
      <c r="D188" s="21">
        <v>6300</v>
      </c>
      <c r="E188" s="21" t="s">
        <v>250</v>
      </c>
      <c r="F188" s="13">
        <v>1024</v>
      </c>
      <c r="G188" s="13" t="s">
        <v>563</v>
      </c>
      <c r="H188" s="13">
        <v>3</v>
      </c>
      <c r="I188" s="13">
        <v>60</v>
      </c>
      <c r="J188" s="8">
        <v>6</v>
      </c>
      <c r="K188" s="14" t="s">
        <v>251</v>
      </c>
      <c r="L188" s="14">
        <v>0</v>
      </c>
      <c r="M188" s="8">
        <v>0</v>
      </c>
      <c r="N188" s="8"/>
      <c r="O188" s="24"/>
      <c r="P188" s="14">
        <f>D188-(F188+H188)*J188-M188-H188*L188</f>
        <v>138</v>
      </c>
      <c r="Q188" s="10">
        <f>P188-I188</f>
        <v>78</v>
      </c>
      <c r="R188" s="26">
        <f>(D188-P188)/D188</f>
        <v>0.97809523809523813</v>
      </c>
    </row>
    <row r="189" spans="1:19" ht="24.9" customHeight="1" x14ac:dyDescent="0.25">
      <c r="A189" s="8">
        <v>187</v>
      </c>
      <c r="B189" s="6" t="s">
        <v>95</v>
      </c>
      <c r="C189" s="21" t="s">
        <v>357</v>
      </c>
      <c r="D189" s="21">
        <v>5800</v>
      </c>
      <c r="E189" s="21" t="s">
        <v>250</v>
      </c>
      <c r="F189" s="13">
        <v>816.5</v>
      </c>
      <c r="G189" s="13" t="s">
        <v>563</v>
      </c>
      <c r="H189" s="13">
        <v>3</v>
      </c>
      <c r="I189" s="13">
        <v>60</v>
      </c>
      <c r="J189" s="8">
        <v>7</v>
      </c>
      <c r="K189" s="10" t="s">
        <v>251</v>
      </c>
      <c r="L189" s="14">
        <v>0</v>
      </c>
      <c r="M189" s="8">
        <v>0</v>
      </c>
      <c r="N189" s="22"/>
      <c r="O189" s="23" t="s">
        <v>22</v>
      </c>
      <c r="P189" s="14">
        <f>D189-(F189+H189)*J189-M189-H189*L189</f>
        <v>63.5</v>
      </c>
      <c r="Q189" s="10">
        <f>P189-I189</f>
        <v>3.5</v>
      </c>
      <c r="R189" s="26">
        <f>(D189-P189)/D189</f>
        <v>0.98905172413793108</v>
      </c>
    </row>
    <row r="190" spans="1:19" ht="24.9" customHeight="1" x14ac:dyDescent="0.25">
      <c r="A190" s="8">
        <v>188</v>
      </c>
      <c r="B190" s="6" t="s">
        <v>96</v>
      </c>
      <c r="C190" s="21" t="s">
        <v>358</v>
      </c>
      <c r="D190" s="21">
        <v>5700</v>
      </c>
      <c r="E190" s="21" t="s">
        <v>250</v>
      </c>
      <c r="F190" s="13">
        <v>1125</v>
      </c>
      <c r="G190" s="13" t="s">
        <v>563</v>
      </c>
      <c r="H190" s="13">
        <v>3</v>
      </c>
      <c r="I190" s="13">
        <v>60</v>
      </c>
      <c r="J190" s="8">
        <v>5</v>
      </c>
      <c r="K190" s="10" t="s">
        <v>251</v>
      </c>
      <c r="L190" s="14">
        <v>0</v>
      </c>
      <c r="M190" s="8">
        <v>0</v>
      </c>
      <c r="N190" s="22"/>
      <c r="O190" s="24"/>
      <c r="P190" s="14">
        <f>D190-(F190+H190)*J190-M190-H190*L190</f>
        <v>60</v>
      </c>
      <c r="Q190" s="10">
        <f>P190-I190</f>
        <v>0</v>
      </c>
      <c r="R190" s="26">
        <f>(D190-P190)/D190</f>
        <v>0.98947368421052628</v>
      </c>
    </row>
    <row r="191" spans="1:19" ht="24.9" customHeight="1" x14ac:dyDescent="0.25">
      <c r="A191" s="8">
        <v>189</v>
      </c>
      <c r="B191" s="6" t="s">
        <v>97</v>
      </c>
      <c r="C191" s="21" t="s">
        <v>358</v>
      </c>
      <c r="D191" s="21">
        <v>5900</v>
      </c>
      <c r="E191" s="21" t="s">
        <v>250</v>
      </c>
      <c r="F191" s="13">
        <v>1150</v>
      </c>
      <c r="G191" s="13" t="s">
        <v>563</v>
      </c>
      <c r="H191" s="13">
        <v>3</v>
      </c>
      <c r="I191" s="13">
        <v>60</v>
      </c>
      <c r="J191" s="8">
        <v>5</v>
      </c>
      <c r="K191" s="10" t="s">
        <v>251</v>
      </c>
      <c r="L191" s="14">
        <v>0</v>
      </c>
      <c r="M191" s="8">
        <v>0</v>
      </c>
      <c r="N191" s="22"/>
      <c r="O191" s="24"/>
      <c r="P191" s="14">
        <f>D191-(F191+H191)*J191-M191-H191*L191</f>
        <v>135</v>
      </c>
      <c r="Q191" s="10">
        <f>P191-I191</f>
        <v>75</v>
      </c>
      <c r="R191" s="26">
        <f>(D191-P191)/D191</f>
        <v>0.97711864406779658</v>
      </c>
    </row>
    <row r="192" spans="1:19" ht="24.9" customHeight="1" x14ac:dyDescent="0.25">
      <c r="A192" s="8">
        <v>190</v>
      </c>
      <c r="B192" s="6" t="s">
        <v>118</v>
      </c>
      <c r="C192" s="21" t="s">
        <v>358</v>
      </c>
      <c r="D192" s="21">
        <v>5900</v>
      </c>
      <c r="E192" s="21" t="s">
        <v>250</v>
      </c>
      <c r="F192" s="13">
        <v>1160</v>
      </c>
      <c r="G192" s="13" t="s">
        <v>563</v>
      </c>
      <c r="H192" s="13">
        <v>3</v>
      </c>
      <c r="I192" s="13">
        <v>60</v>
      </c>
      <c r="J192" s="8">
        <v>5</v>
      </c>
      <c r="K192" s="10" t="s">
        <v>251</v>
      </c>
      <c r="L192" s="14">
        <v>0</v>
      </c>
      <c r="M192" s="8">
        <v>0</v>
      </c>
      <c r="N192" s="22"/>
      <c r="O192" s="24"/>
      <c r="P192" s="14">
        <f>D192-(F192+H192)*J192-M192-H192*L192</f>
        <v>85</v>
      </c>
      <c r="Q192" s="10">
        <f>P192-I192</f>
        <v>25</v>
      </c>
      <c r="R192" s="26">
        <f>(D192-P192)/D192</f>
        <v>0.985593220338983</v>
      </c>
    </row>
    <row r="193" spans="1:18" ht="24.9" customHeight="1" x14ac:dyDescent="0.25">
      <c r="A193" s="8">
        <v>191</v>
      </c>
      <c r="B193" s="4" t="s">
        <v>159</v>
      </c>
      <c r="C193" s="21" t="s">
        <v>358</v>
      </c>
      <c r="D193" s="21">
        <v>5900</v>
      </c>
      <c r="E193" s="21" t="s">
        <v>250</v>
      </c>
      <c r="F193" s="13">
        <v>1160</v>
      </c>
      <c r="G193" s="13" t="s">
        <v>563</v>
      </c>
      <c r="H193" s="13">
        <v>3</v>
      </c>
      <c r="I193" s="13">
        <v>60</v>
      </c>
      <c r="J193" s="8">
        <v>5</v>
      </c>
      <c r="K193" s="10" t="s">
        <v>251</v>
      </c>
      <c r="L193" s="14">
        <v>0</v>
      </c>
      <c r="M193" s="8">
        <v>0</v>
      </c>
      <c r="N193" s="22"/>
      <c r="O193" s="24"/>
      <c r="P193" s="14">
        <f>D193-(F193+H193)*J193-M193-H193*L193</f>
        <v>85</v>
      </c>
      <c r="Q193" s="10">
        <f>P193-I193</f>
        <v>25</v>
      </c>
      <c r="R193" s="26">
        <f>(D193-P193)/D193</f>
        <v>0.985593220338983</v>
      </c>
    </row>
    <row r="194" spans="1:18" ht="24.9" customHeight="1" x14ac:dyDescent="0.25">
      <c r="A194" s="8">
        <v>192</v>
      </c>
      <c r="B194" s="6" t="s">
        <v>81</v>
      </c>
      <c r="C194" s="21" t="s">
        <v>358</v>
      </c>
      <c r="D194" s="21">
        <v>5900</v>
      </c>
      <c r="E194" s="21" t="s">
        <v>250</v>
      </c>
      <c r="F194" s="13">
        <v>1145</v>
      </c>
      <c r="G194" s="13" t="s">
        <v>563</v>
      </c>
      <c r="H194" s="13">
        <v>3</v>
      </c>
      <c r="I194" s="13">
        <v>60</v>
      </c>
      <c r="J194" s="8">
        <v>5</v>
      </c>
      <c r="K194" s="10" t="s">
        <v>251</v>
      </c>
      <c r="L194" s="14">
        <v>0</v>
      </c>
      <c r="M194" s="8">
        <v>0</v>
      </c>
      <c r="N194" s="22"/>
      <c r="O194" s="24"/>
      <c r="P194" s="14">
        <f>D194-(F194+H194)*J194-M194-H194*L194</f>
        <v>160</v>
      </c>
      <c r="Q194" s="10">
        <f>P194-I194</f>
        <v>100</v>
      </c>
      <c r="R194" s="26">
        <f>(D194-P194)/D194</f>
        <v>0.97288135593220337</v>
      </c>
    </row>
    <row r="195" spans="1:18" ht="24.9" customHeight="1" x14ac:dyDescent="0.25">
      <c r="A195" s="8">
        <v>193</v>
      </c>
      <c r="B195" s="4" t="s">
        <v>164</v>
      </c>
      <c r="C195" s="21" t="s">
        <v>358</v>
      </c>
      <c r="D195" s="21">
        <v>5900</v>
      </c>
      <c r="E195" s="21" t="s">
        <v>250</v>
      </c>
      <c r="F195" s="13">
        <v>1160</v>
      </c>
      <c r="G195" s="13" t="s">
        <v>563</v>
      </c>
      <c r="H195" s="13">
        <v>3</v>
      </c>
      <c r="I195" s="13">
        <v>60</v>
      </c>
      <c r="J195" s="8">
        <v>5</v>
      </c>
      <c r="K195" s="14" t="s">
        <v>251</v>
      </c>
      <c r="L195" s="14">
        <v>0</v>
      </c>
      <c r="M195" s="8">
        <v>0</v>
      </c>
      <c r="N195" s="8"/>
      <c r="O195" s="24"/>
      <c r="P195" s="14">
        <f>D195-(F195+H195)*J195-M195-H195*L195</f>
        <v>85</v>
      </c>
      <c r="Q195" s="10">
        <f>P195-I195</f>
        <v>25</v>
      </c>
      <c r="R195" s="26">
        <f>(D195-P195)/D195</f>
        <v>0.985593220338983</v>
      </c>
    </row>
    <row r="196" spans="1:18" ht="24.9" customHeight="1" x14ac:dyDescent="0.25">
      <c r="A196" s="8">
        <v>194</v>
      </c>
      <c r="B196" s="10" t="s">
        <v>127</v>
      </c>
      <c r="C196" s="21" t="s">
        <v>358</v>
      </c>
      <c r="D196" s="21">
        <v>5900</v>
      </c>
      <c r="E196" s="21" t="s">
        <v>250</v>
      </c>
      <c r="F196" s="13">
        <v>1165</v>
      </c>
      <c r="G196" s="13" t="s">
        <v>563</v>
      </c>
      <c r="H196" s="13">
        <v>3</v>
      </c>
      <c r="I196" s="13">
        <v>60</v>
      </c>
      <c r="J196" s="8">
        <v>5</v>
      </c>
      <c r="K196" s="14" t="s">
        <v>251</v>
      </c>
      <c r="L196" s="14">
        <v>0</v>
      </c>
      <c r="M196" s="8">
        <v>0</v>
      </c>
      <c r="N196" s="8"/>
      <c r="O196" s="24"/>
      <c r="P196" s="14">
        <f>D196-(F196+H196)*J196-M196-H196*L196</f>
        <v>60</v>
      </c>
      <c r="Q196" s="10">
        <f>P196-I196</f>
        <v>0</v>
      </c>
      <c r="R196" s="26">
        <f>(D196-P196)/D196</f>
        <v>0.98983050847457632</v>
      </c>
    </row>
    <row r="197" spans="1:18" ht="24.9" customHeight="1" x14ac:dyDescent="0.25">
      <c r="A197" s="8">
        <v>195</v>
      </c>
      <c r="B197" s="4" t="s">
        <v>146</v>
      </c>
      <c r="C197" s="13" t="s">
        <v>358</v>
      </c>
      <c r="D197" s="13">
        <v>5900</v>
      </c>
      <c r="E197" s="13" t="s">
        <v>250</v>
      </c>
      <c r="F197" s="13">
        <v>1150</v>
      </c>
      <c r="G197" s="13" t="s">
        <v>563</v>
      </c>
      <c r="H197" s="13">
        <v>3</v>
      </c>
      <c r="I197" s="13">
        <v>60</v>
      </c>
      <c r="J197" s="8">
        <v>5</v>
      </c>
      <c r="K197" s="14" t="s">
        <v>251</v>
      </c>
      <c r="L197" s="14">
        <v>0</v>
      </c>
      <c r="M197" s="8">
        <v>0</v>
      </c>
      <c r="N197" s="8"/>
      <c r="O197" s="23"/>
      <c r="P197" s="14">
        <f>D197-(F197+H197)*J197-M197-H197*L197</f>
        <v>135</v>
      </c>
      <c r="Q197" s="10">
        <f>P197-I197</f>
        <v>75</v>
      </c>
      <c r="R197" s="26">
        <f>(D197-P197)/D197</f>
        <v>0.97711864406779658</v>
      </c>
    </row>
    <row r="198" spans="1:18" ht="24.9" customHeight="1" x14ac:dyDescent="0.25">
      <c r="A198" s="8">
        <v>196</v>
      </c>
      <c r="B198" s="6" t="s">
        <v>104</v>
      </c>
      <c r="C198" s="21" t="s">
        <v>358</v>
      </c>
      <c r="D198" s="21">
        <v>5900</v>
      </c>
      <c r="E198" s="21" t="s">
        <v>250</v>
      </c>
      <c r="F198" s="13">
        <v>1145</v>
      </c>
      <c r="G198" s="13" t="s">
        <v>563</v>
      </c>
      <c r="H198" s="13">
        <v>3</v>
      </c>
      <c r="I198" s="13">
        <v>60</v>
      </c>
      <c r="J198" s="8">
        <v>5</v>
      </c>
      <c r="K198" s="14" t="s">
        <v>251</v>
      </c>
      <c r="L198" s="14">
        <v>0</v>
      </c>
      <c r="M198" s="8">
        <v>0</v>
      </c>
      <c r="N198" s="8"/>
      <c r="O198" s="23"/>
      <c r="P198" s="14">
        <f>D198-(F198+H198)*J198-M198-H198*L198</f>
        <v>160</v>
      </c>
      <c r="Q198" s="10">
        <f>P198-I198</f>
        <v>100</v>
      </c>
      <c r="R198" s="26">
        <f>(D198-P198)/D198</f>
        <v>0.97288135593220337</v>
      </c>
    </row>
    <row r="199" spans="1:18" ht="24.9" customHeight="1" x14ac:dyDescent="0.25">
      <c r="A199" s="8">
        <v>197</v>
      </c>
      <c r="B199" s="4" t="s">
        <v>181</v>
      </c>
      <c r="C199" s="21" t="s">
        <v>358</v>
      </c>
      <c r="D199" s="21">
        <v>5900</v>
      </c>
      <c r="E199" s="21" t="s">
        <v>250</v>
      </c>
      <c r="F199" s="13">
        <v>1135</v>
      </c>
      <c r="G199" s="13" t="s">
        <v>563</v>
      </c>
      <c r="H199" s="13">
        <v>3</v>
      </c>
      <c r="I199" s="13">
        <v>60</v>
      </c>
      <c r="J199" s="8">
        <v>5</v>
      </c>
      <c r="K199" s="14" t="s">
        <v>251</v>
      </c>
      <c r="L199" s="14">
        <v>0</v>
      </c>
      <c r="M199" s="8">
        <v>0</v>
      </c>
      <c r="N199" s="8"/>
      <c r="O199" s="23"/>
      <c r="P199" s="14">
        <f>D199-(F199+H199)*J199-M199-H199*L199</f>
        <v>210</v>
      </c>
      <c r="Q199" s="10">
        <f>P199-I199</f>
        <v>150</v>
      </c>
      <c r="R199" s="26">
        <f>(D199-P199)/D199</f>
        <v>0.96440677966101696</v>
      </c>
    </row>
    <row r="200" spans="1:18" ht="24.9" customHeight="1" x14ac:dyDescent="0.25">
      <c r="A200" s="8">
        <v>198</v>
      </c>
      <c r="B200" s="4" t="s">
        <v>161</v>
      </c>
      <c r="C200" s="21" t="s">
        <v>358</v>
      </c>
      <c r="D200" s="21">
        <v>6400</v>
      </c>
      <c r="E200" s="21" t="s">
        <v>250</v>
      </c>
      <c r="F200" s="13">
        <v>1017</v>
      </c>
      <c r="G200" s="13" t="s">
        <v>563</v>
      </c>
      <c r="H200" s="13">
        <v>3</v>
      </c>
      <c r="I200" s="13">
        <v>60</v>
      </c>
      <c r="J200" s="8">
        <v>5</v>
      </c>
      <c r="K200" s="14" t="s">
        <v>559</v>
      </c>
      <c r="L200" s="10">
        <v>1</v>
      </c>
      <c r="M200" s="8">
        <v>1080</v>
      </c>
      <c r="N200" s="8" t="s">
        <v>563</v>
      </c>
      <c r="O200" s="24"/>
      <c r="P200" s="14">
        <f>D200-(F200+H200)*J200-M200-H200*L200</f>
        <v>217</v>
      </c>
      <c r="Q200" s="10">
        <f>P200-I200</f>
        <v>157</v>
      </c>
      <c r="R200" s="26">
        <f>(D200-P200)/D200</f>
        <v>0.96609374999999997</v>
      </c>
    </row>
    <row r="201" spans="1:18" ht="24.9" customHeight="1" x14ac:dyDescent="0.25">
      <c r="A201" s="8">
        <v>199</v>
      </c>
      <c r="B201" s="4" t="s">
        <v>38</v>
      </c>
      <c r="C201" s="21" t="s">
        <v>358</v>
      </c>
      <c r="D201" s="21">
        <v>6300</v>
      </c>
      <c r="E201" s="21" t="s">
        <v>250</v>
      </c>
      <c r="F201" s="13">
        <v>1240</v>
      </c>
      <c r="G201" s="13" t="s">
        <v>563</v>
      </c>
      <c r="H201" s="13">
        <v>3</v>
      </c>
      <c r="I201" s="13">
        <v>60</v>
      </c>
      <c r="J201" s="8">
        <v>5</v>
      </c>
      <c r="K201" s="14" t="s">
        <v>286</v>
      </c>
      <c r="L201" s="14">
        <v>0</v>
      </c>
      <c r="M201" s="8">
        <v>0</v>
      </c>
      <c r="N201" s="8"/>
      <c r="O201" s="23"/>
      <c r="P201" s="14">
        <f>D201-(F201+H201)*J201-M201-H201*L201</f>
        <v>85</v>
      </c>
      <c r="Q201" s="10">
        <f>P201-I201</f>
        <v>25</v>
      </c>
      <c r="R201" s="26">
        <f>(D201-P201)/D201</f>
        <v>0.98650793650793656</v>
      </c>
    </row>
    <row r="202" spans="1:18" ht="24.9" customHeight="1" x14ac:dyDescent="0.25">
      <c r="A202" s="8">
        <v>200</v>
      </c>
      <c r="B202" s="4" t="s">
        <v>39</v>
      </c>
      <c r="C202" s="21" t="s">
        <v>358</v>
      </c>
      <c r="D202" s="21">
        <v>5900</v>
      </c>
      <c r="E202" s="21" t="s">
        <v>250</v>
      </c>
      <c r="F202" s="13">
        <v>1180</v>
      </c>
      <c r="G202" s="13" t="s">
        <v>563</v>
      </c>
      <c r="H202" s="13">
        <v>3</v>
      </c>
      <c r="I202" s="13">
        <v>60</v>
      </c>
      <c r="J202" s="8">
        <v>4</v>
      </c>
      <c r="K202" s="14" t="s">
        <v>559</v>
      </c>
      <c r="L202" s="10">
        <v>1</v>
      </c>
      <c r="M202" s="8">
        <v>1080</v>
      </c>
      <c r="N202" s="8" t="s">
        <v>563</v>
      </c>
      <c r="O202" s="23"/>
      <c r="P202" s="14">
        <f>D202-(F202+H202)*J202-M202-H202*L202</f>
        <v>85</v>
      </c>
      <c r="Q202" s="10">
        <f>P202-I202</f>
        <v>25</v>
      </c>
      <c r="R202" s="26">
        <f>(D202-P202)/D202</f>
        <v>0.985593220338983</v>
      </c>
    </row>
    <row r="203" spans="1:18" ht="24.9" customHeight="1" x14ac:dyDescent="0.25">
      <c r="A203" s="8">
        <v>201</v>
      </c>
      <c r="B203" s="4" t="s">
        <v>89</v>
      </c>
      <c r="C203" s="21" t="s">
        <v>358</v>
      </c>
      <c r="D203" s="21">
        <v>6300</v>
      </c>
      <c r="E203" s="21" t="s">
        <v>250</v>
      </c>
      <c r="F203" s="13">
        <v>1240</v>
      </c>
      <c r="G203" s="13" t="s">
        <v>563</v>
      </c>
      <c r="H203" s="13">
        <v>3</v>
      </c>
      <c r="I203" s="13">
        <v>60</v>
      </c>
      <c r="J203" s="8">
        <v>5</v>
      </c>
      <c r="K203" s="14" t="s">
        <v>251</v>
      </c>
      <c r="L203" s="14">
        <v>0</v>
      </c>
      <c r="M203" s="8">
        <v>0</v>
      </c>
      <c r="N203" s="8"/>
      <c r="O203" s="23"/>
      <c r="P203" s="14">
        <f>D203-(F203+H203)*J203-M203-H203*L203</f>
        <v>85</v>
      </c>
      <c r="Q203" s="10">
        <f>P203-I203</f>
        <v>25</v>
      </c>
      <c r="R203" s="26">
        <f>(D203-P203)/D203</f>
        <v>0.98650793650793656</v>
      </c>
    </row>
    <row r="204" spans="1:18" ht="24.9" customHeight="1" x14ac:dyDescent="0.25">
      <c r="A204" s="8">
        <v>202</v>
      </c>
      <c r="B204" s="4" t="s">
        <v>93</v>
      </c>
      <c r="C204" s="21" t="s">
        <v>358</v>
      </c>
      <c r="D204" s="21">
        <v>6300</v>
      </c>
      <c r="E204" s="21" t="s">
        <v>250</v>
      </c>
      <c r="F204" s="13">
        <v>1210</v>
      </c>
      <c r="G204" s="13" t="s">
        <v>563</v>
      </c>
      <c r="H204" s="13">
        <v>3</v>
      </c>
      <c r="I204" s="13">
        <v>60</v>
      </c>
      <c r="J204" s="8">
        <v>5</v>
      </c>
      <c r="K204" s="14" t="s">
        <v>251</v>
      </c>
      <c r="L204" s="14">
        <v>0</v>
      </c>
      <c r="M204" s="8">
        <v>0</v>
      </c>
      <c r="N204" s="8"/>
      <c r="O204" s="23"/>
      <c r="P204" s="14">
        <f>D204-(F204+H204)*J204-M204-H204*L204</f>
        <v>235</v>
      </c>
      <c r="Q204" s="10">
        <f>P204-I204</f>
        <v>175</v>
      </c>
      <c r="R204" s="26">
        <f>(D204-P204)/D204</f>
        <v>0.96269841269841272</v>
      </c>
    </row>
    <row r="205" spans="1:18" ht="24.9" customHeight="1" x14ac:dyDescent="0.25">
      <c r="A205" s="8">
        <v>203</v>
      </c>
      <c r="B205" s="4" t="s">
        <v>76</v>
      </c>
      <c r="C205" s="21" t="s">
        <v>358</v>
      </c>
      <c r="D205" s="21">
        <v>6300</v>
      </c>
      <c r="E205" s="21" t="s">
        <v>250</v>
      </c>
      <c r="F205" s="13">
        <v>1220</v>
      </c>
      <c r="G205" s="13" t="s">
        <v>563</v>
      </c>
      <c r="H205" s="13">
        <v>3</v>
      </c>
      <c r="I205" s="13">
        <v>60</v>
      </c>
      <c r="J205" s="8">
        <v>5</v>
      </c>
      <c r="K205" s="14" t="s">
        <v>251</v>
      </c>
      <c r="L205" s="14">
        <v>0</v>
      </c>
      <c r="M205" s="8">
        <v>0</v>
      </c>
      <c r="N205" s="8"/>
      <c r="O205" s="23"/>
      <c r="P205" s="14">
        <f>D205-(F205+H205)*J205-M205-H205*L205</f>
        <v>185</v>
      </c>
      <c r="Q205" s="10">
        <f>P205-I205</f>
        <v>125</v>
      </c>
      <c r="R205" s="26">
        <f>(D205-P205)/D205</f>
        <v>0.97063492063492063</v>
      </c>
    </row>
    <row r="206" spans="1:18" ht="24.9" customHeight="1" x14ac:dyDescent="0.25">
      <c r="A206" s="8">
        <v>204</v>
      </c>
      <c r="B206" s="4" t="s">
        <v>162</v>
      </c>
      <c r="C206" s="21" t="s">
        <v>358</v>
      </c>
      <c r="D206" s="21">
        <v>6300</v>
      </c>
      <c r="E206" s="21" t="s">
        <v>250</v>
      </c>
      <c r="F206" s="13">
        <v>1203</v>
      </c>
      <c r="G206" s="13" t="s">
        <v>563</v>
      </c>
      <c r="H206" s="13">
        <v>3</v>
      </c>
      <c r="I206" s="13">
        <v>60</v>
      </c>
      <c r="J206" s="8">
        <v>5</v>
      </c>
      <c r="K206" s="14" t="s">
        <v>251</v>
      </c>
      <c r="L206" s="14">
        <v>0</v>
      </c>
      <c r="M206" s="8">
        <v>0</v>
      </c>
      <c r="N206" s="8"/>
      <c r="O206" s="23"/>
      <c r="P206" s="14">
        <f>D206-(F206+H206)*J206-M206-H206*L206</f>
        <v>270</v>
      </c>
      <c r="Q206" s="10">
        <f>P206-I206</f>
        <v>210</v>
      </c>
      <c r="R206" s="26">
        <f>(D206-P206)/D206</f>
        <v>0.95714285714285718</v>
      </c>
    </row>
    <row r="207" spans="1:18" ht="24.9" customHeight="1" x14ac:dyDescent="0.25">
      <c r="A207" s="8">
        <v>205</v>
      </c>
      <c r="B207" s="4" t="s">
        <v>163</v>
      </c>
      <c r="C207" s="21" t="s">
        <v>358</v>
      </c>
      <c r="D207" s="21">
        <v>6300</v>
      </c>
      <c r="E207" s="21" t="s">
        <v>250</v>
      </c>
      <c r="F207" s="13">
        <v>1003</v>
      </c>
      <c r="G207" s="13" t="s">
        <v>563</v>
      </c>
      <c r="H207" s="13">
        <v>3</v>
      </c>
      <c r="I207" s="13">
        <v>60</v>
      </c>
      <c r="J207" s="8">
        <v>6</v>
      </c>
      <c r="K207" s="14" t="s">
        <v>251</v>
      </c>
      <c r="L207" s="14">
        <v>0</v>
      </c>
      <c r="M207" s="8">
        <v>0</v>
      </c>
      <c r="N207" s="8"/>
      <c r="O207" s="23"/>
      <c r="P207" s="14">
        <f>D207-(F207+H207)*J207-M207-H207*L207</f>
        <v>264</v>
      </c>
      <c r="Q207" s="10">
        <f>P207-I207</f>
        <v>204</v>
      </c>
      <c r="R207" s="26">
        <f>(D207-P207)/D207</f>
        <v>0.95809523809523811</v>
      </c>
    </row>
    <row r="208" spans="1:18" ht="24.9" customHeight="1" x14ac:dyDescent="0.25">
      <c r="A208" s="8">
        <v>206</v>
      </c>
      <c r="B208" s="4" t="s">
        <v>166</v>
      </c>
      <c r="C208" s="21" t="s">
        <v>358</v>
      </c>
      <c r="D208" s="21">
        <v>6300</v>
      </c>
      <c r="E208" s="21" t="s">
        <v>250</v>
      </c>
      <c r="F208" s="13">
        <v>1198</v>
      </c>
      <c r="G208" s="13" t="s">
        <v>563</v>
      </c>
      <c r="H208" s="13">
        <v>3</v>
      </c>
      <c r="I208" s="13">
        <v>60</v>
      </c>
      <c r="J208" s="8">
        <v>5</v>
      </c>
      <c r="K208" s="14" t="s">
        <v>251</v>
      </c>
      <c r="L208" s="14">
        <v>0</v>
      </c>
      <c r="M208" s="8">
        <v>0</v>
      </c>
      <c r="N208" s="8"/>
      <c r="O208" s="23"/>
      <c r="P208" s="14">
        <f>D208-(F208+H208)*J208-M208-H208*L208</f>
        <v>295</v>
      </c>
      <c r="Q208" s="10">
        <f>P208-I208</f>
        <v>235</v>
      </c>
      <c r="R208" s="26">
        <f>(D208-P208)/D208</f>
        <v>0.95317460317460323</v>
      </c>
    </row>
    <row r="209" spans="1:18" ht="24.9" customHeight="1" x14ac:dyDescent="0.25">
      <c r="A209" s="8">
        <v>207</v>
      </c>
      <c r="B209" s="4" t="s">
        <v>112</v>
      </c>
      <c r="C209" s="21" t="s">
        <v>358</v>
      </c>
      <c r="D209" s="21">
        <v>6300</v>
      </c>
      <c r="E209" s="21" t="s">
        <v>250</v>
      </c>
      <c r="F209" s="13">
        <v>540</v>
      </c>
      <c r="G209" s="13" t="s">
        <v>563</v>
      </c>
      <c r="H209" s="13">
        <v>3</v>
      </c>
      <c r="I209" s="13">
        <v>60</v>
      </c>
      <c r="J209" s="8">
        <v>11</v>
      </c>
      <c r="K209" s="14" t="s">
        <v>251</v>
      </c>
      <c r="L209" s="14">
        <v>0</v>
      </c>
      <c r="M209" s="8">
        <v>0</v>
      </c>
      <c r="N209" s="8"/>
      <c r="O209" s="23"/>
      <c r="P209" s="14">
        <f>D209-(F209+H209)*J209-M209-H209*L209</f>
        <v>327</v>
      </c>
      <c r="Q209" s="10">
        <f>P209-I209</f>
        <v>267</v>
      </c>
      <c r="R209" s="26">
        <f>(D209-P209)/D209</f>
        <v>0.9480952380952381</v>
      </c>
    </row>
    <row r="210" spans="1:18" ht="24.9" customHeight="1" x14ac:dyDescent="0.25">
      <c r="A210" s="8">
        <v>208</v>
      </c>
      <c r="B210" s="11" t="s">
        <v>255</v>
      </c>
      <c r="C210" s="21" t="s">
        <v>358</v>
      </c>
      <c r="D210" s="21">
        <v>6300</v>
      </c>
      <c r="E210" s="21" t="s">
        <v>250</v>
      </c>
      <c r="F210" s="8">
        <v>1240</v>
      </c>
      <c r="G210" s="8" t="s">
        <v>563</v>
      </c>
      <c r="H210" s="13">
        <v>3</v>
      </c>
      <c r="I210" s="13">
        <v>60</v>
      </c>
      <c r="J210" s="8">
        <v>5</v>
      </c>
      <c r="K210" s="14" t="s">
        <v>287</v>
      </c>
      <c r="L210" s="14">
        <v>0</v>
      </c>
      <c r="M210" s="8">
        <v>0</v>
      </c>
      <c r="N210" s="8"/>
      <c r="O210" s="23"/>
      <c r="P210" s="14">
        <f>D210-(F210+H210)*J210-M210-H210*L210</f>
        <v>85</v>
      </c>
      <c r="Q210" s="10">
        <f>P210-I210</f>
        <v>25</v>
      </c>
      <c r="R210" s="26">
        <f>(D210-P210)/D210</f>
        <v>0.98650793650793656</v>
      </c>
    </row>
    <row r="211" spans="1:18" ht="24.9" customHeight="1" x14ac:dyDescent="0.25">
      <c r="A211" s="8">
        <v>209</v>
      </c>
      <c r="B211" s="4" t="s">
        <v>256</v>
      </c>
      <c r="C211" s="21" t="s">
        <v>358</v>
      </c>
      <c r="D211" s="21">
        <v>6400</v>
      </c>
      <c r="E211" s="21" t="s">
        <v>250</v>
      </c>
      <c r="F211" s="13">
        <v>1258</v>
      </c>
      <c r="G211" s="13" t="s">
        <v>563</v>
      </c>
      <c r="H211" s="13">
        <v>3</v>
      </c>
      <c r="I211" s="13">
        <v>60</v>
      </c>
      <c r="J211" s="8">
        <v>5</v>
      </c>
      <c r="K211" s="14" t="s">
        <v>251</v>
      </c>
      <c r="L211" s="14">
        <v>0</v>
      </c>
      <c r="M211" s="8">
        <v>0</v>
      </c>
      <c r="N211" s="8"/>
      <c r="O211" s="23"/>
      <c r="P211" s="14">
        <f>D211-(F211+H211)*J211-M211-H211*L211</f>
        <v>95</v>
      </c>
      <c r="Q211" s="10">
        <f>P211-I211</f>
        <v>35</v>
      </c>
      <c r="R211" s="26">
        <f>(D211-P211)/D211</f>
        <v>0.98515624999999996</v>
      </c>
    </row>
    <row r="212" spans="1:18" ht="24.9" customHeight="1" x14ac:dyDescent="0.25">
      <c r="A212" s="8">
        <v>210</v>
      </c>
      <c r="B212" s="9" t="s">
        <v>352</v>
      </c>
      <c r="C212" s="21" t="s">
        <v>358</v>
      </c>
      <c r="D212" s="21">
        <v>5700</v>
      </c>
      <c r="E212" s="21" t="s">
        <v>250</v>
      </c>
      <c r="F212" s="13">
        <v>1080</v>
      </c>
      <c r="G212" s="13" t="s">
        <v>563</v>
      </c>
      <c r="H212" s="13">
        <v>3</v>
      </c>
      <c r="I212" s="13">
        <v>60</v>
      </c>
      <c r="J212" s="8">
        <v>5</v>
      </c>
      <c r="K212" s="14" t="s">
        <v>251</v>
      </c>
      <c r="L212" s="14">
        <v>0</v>
      </c>
      <c r="M212" s="8">
        <v>0</v>
      </c>
      <c r="N212" s="8"/>
      <c r="O212" s="23"/>
      <c r="P212" s="14">
        <f>D212-(F212+H212)*J212-M212-H212*L212</f>
        <v>285</v>
      </c>
      <c r="Q212" s="10">
        <f>P212-I212</f>
        <v>225</v>
      </c>
      <c r="R212" s="26">
        <f>(D212-P212)/D212</f>
        <v>0.95</v>
      </c>
    </row>
    <row r="213" spans="1:18" ht="24.9" customHeight="1" x14ac:dyDescent="0.25">
      <c r="A213" s="8">
        <v>211</v>
      </c>
      <c r="B213" s="9" t="s">
        <v>36</v>
      </c>
      <c r="C213" s="21" t="s">
        <v>358</v>
      </c>
      <c r="D213" s="21">
        <v>5700</v>
      </c>
      <c r="E213" s="21" t="s">
        <v>250</v>
      </c>
      <c r="F213" s="13">
        <v>1115</v>
      </c>
      <c r="G213" s="13" t="s">
        <v>563</v>
      </c>
      <c r="H213" s="13">
        <v>3</v>
      </c>
      <c r="I213" s="13">
        <v>60</v>
      </c>
      <c r="J213" s="8">
        <v>5</v>
      </c>
      <c r="K213" s="14" t="s">
        <v>251</v>
      </c>
      <c r="L213" s="14">
        <v>0</v>
      </c>
      <c r="M213" s="8">
        <v>0</v>
      </c>
      <c r="N213" s="8"/>
      <c r="O213" s="23"/>
      <c r="P213" s="14">
        <f>D213-(F213+H213)*J213-M213-H213*L213</f>
        <v>110</v>
      </c>
      <c r="Q213" s="10">
        <f>P213-I213</f>
        <v>50</v>
      </c>
      <c r="R213" s="26">
        <f>(D213-P213)/D213</f>
        <v>0.98070175438596496</v>
      </c>
    </row>
    <row r="214" spans="1:18" ht="24.9" customHeight="1" x14ac:dyDescent="0.25">
      <c r="A214" s="8">
        <v>212</v>
      </c>
      <c r="B214" s="9" t="s">
        <v>37</v>
      </c>
      <c r="C214" s="21" t="s">
        <v>358</v>
      </c>
      <c r="D214" s="21">
        <v>5700</v>
      </c>
      <c r="E214" s="21" t="s">
        <v>250</v>
      </c>
      <c r="F214" s="13">
        <v>1125</v>
      </c>
      <c r="G214" s="13" t="s">
        <v>563</v>
      </c>
      <c r="H214" s="13">
        <v>3</v>
      </c>
      <c r="I214" s="13">
        <v>60</v>
      </c>
      <c r="J214" s="8">
        <v>5</v>
      </c>
      <c r="K214" s="14" t="s">
        <v>251</v>
      </c>
      <c r="L214" s="14">
        <v>0</v>
      </c>
      <c r="M214" s="8">
        <v>0</v>
      </c>
      <c r="N214" s="8"/>
      <c r="O214" s="23"/>
      <c r="P214" s="14">
        <f>D214-(F214+H214)*J214-M214-H214*L214</f>
        <v>60</v>
      </c>
      <c r="Q214" s="10">
        <f>P214-I214</f>
        <v>0</v>
      </c>
      <c r="R214" s="26">
        <f>(D214-P214)/D214</f>
        <v>0.98947368421052628</v>
      </c>
    </row>
    <row r="215" spans="1:18" ht="24.9" customHeight="1" x14ac:dyDescent="0.25">
      <c r="A215" s="8">
        <v>213</v>
      </c>
      <c r="B215" s="6" t="s">
        <v>75</v>
      </c>
      <c r="C215" s="13" t="s">
        <v>358</v>
      </c>
      <c r="D215" s="13">
        <v>5700</v>
      </c>
      <c r="E215" s="13" t="s">
        <v>250</v>
      </c>
      <c r="F215" s="13">
        <v>1090</v>
      </c>
      <c r="G215" s="13" t="s">
        <v>563</v>
      </c>
      <c r="H215" s="13">
        <v>3</v>
      </c>
      <c r="I215" s="13">
        <v>60</v>
      </c>
      <c r="J215" s="8">
        <v>5</v>
      </c>
      <c r="K215" s="14" t="s">
        <v>251</v>
      </c>
      <c r="L215" s="14">
        <v>0</v>
      </c>
      <c r="M215" s="8">
        <v>0</v>
      </c>
      <c r="N215" s="8"/>
      <c r="O215" s="23"/>
      <c r="P215" s="14">
        <f>D215-(F215+H215)*J215-M215-H215*L215</f>
        <v>235</v>
      </c>
      <c r="Q215" s="10">
        <f>P215-I215</f>
        <v>175</v>
      </c>
      <c r="R215" s="26">
        <f>(D215-P215)/D215</f>
        <v>0.95877192982456139</v>
      </c>
    </row>
    <row r="216" spans="1:18" ht="24.9" customHeight="1" x14ac:dyDescent="0.25">
      <c r="A216" s="8">
        <v>214</v>
      </c>
      <c r="B216" s="6" t="s">
        <v>78</v>
      </c>
      <c r="C216" s="21" t="s">
        <v>358</v>
      </c>
      <c r="D216" s="21">
        <v>5700</v>
      </c>
      <c r="E216" s="21" t="s">
        <v>250</v>
      </c>
      <c r="F216" s="13">
        <v>1090</v>
      </c>
      <c r="G216" s="13" t="s">
        <v>563</v>
      </c>
      <c r="H216" s="13">
        <v>3</v>
      </c>
      <c r="I216" s="13">
        <v>60</v>
      </c>
      <c r="J216" s="8">
        <v>5</v>
      </c>
      <c r="K216" s="14" t="s">
        <v>251</v>
      </c>
      <c r="L216" s="14">
        <v>0</v>
      </c>
      <c r="M216" s="8">
        <v>0</v>
      </c>
      <c r="N216" s="8"/>
      <c r="O216" s="23"/>
      <c r="P216" s="14">
        <f>D216-(F216+H216)*J216-M216-H216*L216</f>
        <v>235</v>
      </c>
      <c r="Q216" s="10">
        <f>P216-I216</f>
        <v>175</v>
      </c>
      <c r="R216" s="26">
        <f>(D216-P216)/D216</f>
        <v>0.95877192982456139</v>
      </c>
    </row>
    <row r="217" spans="1:18" ht="24.9" customHeight="1" x14ac:dyDescent="0.25">
      <c r="A217" s="8">
        <v>215</v>
      </c>
      <c r="B217" s="6" t="s">
        <v>99</v>
      </c>
      <c r="C217" s="21" t="s">
        <v>358</v>
      </c>
      <c r="D217" s="21">
        <v>5700</v>
      </c>
      <c r="E217" s="21" t="s">
        <v>250</v>
      </c>
      <c r="F217" s="13">
        <v>1085</v>
      </c>
      <c r="G217" s="13" t="s">
        <v>563</v>
      </c>
      <c r="H217" s="13">
        <v>3</v>
      </c>
      <c r="I217" s="13">
        <v>60</v>
      </c>
      <c r="J217" s="8">
        <v>5</v>
      </c>
      <c r="K217" s="14" t="s">
        <v>251</v>
      </c>
      <c r="L217" s="14">
        <v>0</v>
      </c>
      <c r="M217" s="8">
        <v>0</v>
      </c>
      <c r="N217" s="8"/>
      <c r="O217" s="23"/>
      <c r="P217" s="14">
        <f>D217-(F217+H217)*J217-M217-H217*L217</f>
        <v>260</v>
      </c>
      <c r="Q217" s="10">
        <f>P217-I217</f>
        <v>200</v>
      </c>
      <c r="R217" s="26">
        <f>(D217-P217)/D217</f>
        <v>0.95438596491228067</v>
      </c>
    </row>
    <row r="218" spans="1:18" ht="24.9" customHeight="1" x14ac:dyDescent="0.25">
      <c r="A218" s="8">
        <v>216</v>
      </c>
      <c r="B218" s="6" t="s">
        <v>101</v>
      </c>
      <c r="C218" s="21" t="s">
        <v>358</v>
      </c>
      <c r="D218" s="21">
        <v>5700</v>
      </c>
      <c r="E218" s="21" t="s">
        <v>250</v>
      </c>
      <c r="F218" s="13">
        <v>1120</v>
      </c>
      <c r="G218" s="13" t="s">
        <v>563</v>
      </c>
      <c r="H218" s="13">
        <v>3</v>
      </c>
      <c r="I218" s="13">
        <v>60</v>
      </c>
      <c r="J218" s="8">
        <v>5</v>
      </c>
      <c r="K218" s="14" t="s">
        <v>251</v>
      </c>
      <c r="L218" s="14">
        <v>0</v>
      </c>
      <c r="M218" s="8">
        <v>0</v>
      </c>
      <c r="N218" s="8"/>
      <c r="O218" s="23"/>
      <c r="P218" s="14">
        <f>D218-(F218+H218)*J218-M218-H218*L218</f>
        <v>85</v>
      </c>
      <c r="Q218" s="10">
        <f>P218-I218</f>
        <v>25</v>
      </c>
      <c r="R218" s="26">
        <f>(D218-P218)/D218</f>
        <v>0.98508771929824557</v>
      </c>
    </row>
    <row r="219" spans="1:18" ht="24.9" customHeight="1" x14ac:dyDescent="0.25">
      <c r="A219" s="8">
        <v>217</v>
      </c>
      <c r="B219" s="6" t="s">
        <v>107</v>
      </c>
      <c r="C219" s="21" t="s">
        <v>358</v>
      </c>
      <c r="D219" s="21">
        <v>5700</v>
      </c>
      <c r="E219" s="21" t="s">
        <v>250</v>
      </c>
      <c r="F219" s="13">
        <v>1085</v>
      </c>
      <c r="G219" s="13" t="s">
        <v>563</v>
      </c>
      <c r="H219" s="13">
        <v>3</v>
      </c>
      <c r="I219" s="13">
        <v>60</v>
      </c>
      <c r="J219" s="8">
        <v>5</v>
      </c>
      <c r="K219" s="14" t="s">
        <v>251</v>
      </c>
      <c r="L219" s="14">
        <v>0</v>
      </c>
      <c r="M219" s="8">
        <v>0</v>
      </c>
      <c r="N219" s="8"/>
      <c r="O219" s="23"/>
      <c r="P219" s="14">
        <f>D219-(F219+H219)*J219-M219-H219*L219</f>
        <v>260</v>
      </c>
      <c r="Q219" s="10">
        <f>P219-I219</f>
        <v>200</v>
      </c>
      <c r="R219" s="26">
        <f>(D219-P219)/D219</f>
        <v>0.95438596491228067</v>
      </c>
    </row>
    <row r="220" spans="1:18" ht="24.9" customHeight="1" x14ac:dyDescent="0.25">
      <c r="A220" s="8">
        <v>218</v>
      </c>
      <c r="B220" s="6" t="s">
        <v>109</v>
      </c>
      <c r="C220" s="21" t="s">
        <v>358</v>
      </c>
      <c r="D220" s="21">
        <v>5700</v>
      </c>
      <c r="E220" s="21" t="s">
        <v>250</v>
      </c>
      <c r="F220" s="13">
        <v>1095</v>
      </c>
      <c r="G220" s="13" t="s">
        <v>563</v>
      </c>
      <c r="H220" s="13">
        <v>3</v>
      </c>
      <c r="I220" s="13">
        <v>60</v>
      </c>
      <c r="J220" s="8">
        <v>5</v>
      </c>
      <c r="K220" s="14" t="s">
        <v>251</v>
      </c>
      <c r="L220" s="14">
        <v>0</v>
      </c>
      <c r="M220" s="8">
        <v>0</v>
      </c>
      <c r="N220" s="8"/>
      <c r="O220" s="23"/>
      <c r="P220" s="14">
        <f>D220-(F220+H220)*J220-M220-H220*L220</f>
        <v>210</v>
      </c>
      <c r="Q220" s="10">
        <f>P220-I220</f>
        <v>150</v>
      </c>
      <c r="R220" s="26">
        <f>(D220-P220)/D220</f>
        <v>0.9631578947368421</v>
      </c>
    </row>
    <row r="221" spans="1:18" ht="24.9" customHeight="1" x14ac:dyDescent="0.25">
      <c r="A221" s="8">
        <v>219</v>
      </c>
      <c r="B221" s="6" t="s">
        <v>115</v>
      </c>
      <c r="C221" s="21" t="s">
        <v>358</v>
      </c>
      <c r="D221" s="21">
        <v>5700</v>
      </c>
      <c r="E221" s="21" t="s">
        <v>250</v>
      </c>
      <c r="F221" s="13">
        <v>1080</v>
      </c>
      <c r="G221" s="13" t="s">
        <v>563</v>
      </c>
      <c r="H221" s="13">
        <v>3</v>
      </c>
      <c r="I221" s="13">
        <v>60</v>
      </c>
      <c r="J221" s="8">
        <v>5</v>
      </c>
      <c r="K221" s="14" t="s">
        <v>251</v>
      </c>
      <c r="L221" s="14">
        <v>0</v>
      </c>
      <c r="M221" s="8">
        <v>0</v>
      </c>
      <c r="N221" s="8"/>
      <c r="O221" s="23"/>
      <c r="P221" s="14">
        <f>D221-(F221+H221)*J221-M221-H221*L221</f>
        <v>285</v>
      </c>
      <c r="Q221" s="10">
        <f>P221-I221</f>
        <v>225</v>
      </c>
      <c r="R221" s="26">
        <f>(D221-P221)/D221</f>
        <v>0.95</v>
      </c>
    </row>
    <row r="222" spans="1:18" ht="24.9" customHeight="1" x14ac:dyDescent="0.25">
      <c r="A222" s="8">
        <v>220</v>
      </c>
      <c r="B222" s="4" t="s">
        <v>157</v>
      </c>
      <c r="C222" s="21" t="s">
        <v>358</v>
      </c>
      <c r="D222" s="21">
        <v>5700</v>
      </c>
      <c r="E222" s="21" t="s">
        <v>250</v>
      </c>
      <c r="F222" s="13">
        <v>1110</v>
      </c>
      <c r="G222" s="13" t="s">
        <v>563</v>
      </c>
      <c r="H222" s="13">
        <v>3</v>
      </c>
      <c r="I222" s="13">
        <v>60</v>
      </c>
      <c r="J222" s="8">
        <v>5</v>
      </c>
      <c r="K222" s="14" t="s">
        <v>251</v>
      </c>
      <c r="L222" s="14">
        <v>0</v>
      </c>
      <c r="M222" s="8">
        <v>0</v>
      </c>
      <c r="N222" s="8"/>
      <c r="O222" s="23"/>
      <c r="P222" s="14">
        <f>D222-(F222+H222)*J222-M222-H222*L222</f>
        <v>135</v>
      </c>
      <c r="Q222" s="10">
        <f>P222-I222</f>
        <v>75</v>
      </c>
      <c r="R222" s="26">
        <f>(D222-P222)/D222</f>
        <v>0.97631578947368425</v>
      </c>
    </row>
    <row r="223" spans="1:18" ht="24.9" customHeight="1" x14ac:dyDescent="0.25">
      <c r="A223" s="8">
        <v>221</v>
      </c>
      <c r="B223" s="4" t="s">
        <v>158</v>
      </c>
      <c r="C223" s="21" t="s">
        <v>358</v>
      </c>
      <c r="D223" s="21">
        <v>5700</v>
      </c>
      <c r="E223" s="21" t="s">
        <v>250</v>
      </c>
      <c r="F223" s="13">
        <v>1125</v>
      </c>
      <c r="G223" s="13" t="s">
        <v>563</v>
      </c>
      <c r="H223" s="13">
        <v>3</v>
      </c>
      <c r="I223" s="13">
        <v>60</v>
      </c>
      <c r="J223" s="8">
        <v>5</v>
      </c>
      <c r="K223" s="14" t="s">
        <v>251</v>
      </c>
      <c r="L223" s="14">
        <v>0</v>
      </c>
      <c r="M223" s="8">
        <v>0</v>
      </c>
      <c r="N223" s="8"/>
      <c r="O223" s="23"/>
      <c r="P223" s="14">
        <f>D223-(F223+H223)*J223-M223-H223*L223</f>
        <v>60</v>
      </c>
      <c r="Q223" s="10">
        <f>P223-I223</f>
        <v>0</v>
      </c>
      <c r="R223" s="26">
        <f>(D223-P223)/D223</f>
        <v>0.98947368421052628</v>
      </c>
    </row>
    <row r="224" spans="1:18" ht="24.9" customHeight="1" x14ac:dyDescent="0.25">
      <c r="A224" s="8">
        <v>222</v>
      </c>
      <c r="B224" s="4" t="s">
        <v>175</v>
      </c>
      <c r="C224" s="21" t="s">
        <v>358</v>
      </c>
      <c r="D224" s="21">
        <v>5700</v>
      </c>
      <c r="E224" s="21" t="s">
        <v>250</v>
      </c>
      <c r="F224" s="13">
        <v>1125</v>
      </c>
      <c r="G224" s="13" t="s">
        <v>563</v>
      </c>
      <c r="H224" s="13">
        <v>3</v>
      </c>
      <c r="I224" s="13">
        <v>60</v>
      </c>
      <c r="J224" s="8">
        <v>5</v>
      </c>
      <c r="K224" s="14" t="s">
        <v>251</v>
      </c>
      <c r="L224" s="14">
        <v>0</v>
      </c>
      <c r="M224" s="8">
        <v>0</v>
      </c>
      <c r="N224" s="8"/>
      <c r="O224" s="23"/>
      <c r="P224" s="14">
        <f>D224-(F224+H224)*J224-M224-H224*L224</f>
        <v>60</v>
      </c>
      <c r="Q224" s="10">
        <f>P224-I224</f>
        <v>0</v>
      </c>
      <c r="R224" s="26">
        <f>(D224-P224)/D224</f>
        <v>0.98947368421052628</v>
      </c>
    </row>
    <row r="225" spans="1:18" ht="24.9" customHeight="1" x14ac:dyDescent="0.25">
      <c r="A225" s="8">
        <v>223</v>
      </c>
      <c r="B225" s="4" t="s">
        <v>176</v>
      </c>
      <c r="C225" s="21" t="s">
        <v>358</v>
      </c>
      <c r="D225" s="21">
        <v>5700</v>
      </c>
      <c r="E225" s="21" t="s">
        <v>250</v>
      </c>
      <c r="F225" s="13">
        <v>1125</v>
      </c>
      <c r="G225" s="13" t="s">
        <v>563</v>
      </c>
      <c r="H225" s="13">
        <v>3</v>
      </c>
      <c r="I225" s="13">
        <v>60</v>
      </c>
      <c r="J225" s="8">
        <v>5</v>
      </c>
      <c r="K225" s="14" t="s">
        <v>251</v>
      </c>
      <c r="L225" s="14">
        <v>0</v>
      </c>
      <c r="M225" s="8">
        <v>0</v>
      </c>
      <c r="N225" s="8"/>
      <c r="O225" s="23"/>
      <c r="P225" s="14">
        <f>D225-(F225+H225)*J225-M225-H225*L225</f>
        <v>60</v>
      </c>
      <c r="Q225" s="10">
        <f>P225-I225</f>
        <v>0</v>
      </c>
      <c r="R225" s="26">
        <f>(D225-P225)/D225</f>
        <v>0.98947368421052628</v>
      </c>
    </row>
    <row r="226" spans="1:18" ht="24.9" customHeight="1" x14ac:dyDescent="0.25">
      <c r="A226" s="8">
        <v>224</v>
      </c>
      <c r="B226" s="4" t="s">
        <v>177</v>
      </c>
      <c r="C226" s="21" t="s">
        <v>358</v>
      </c>
      <c r="D226" s="21">
        <v>5700</v>
      </c>
      <c r="E226" s="21" t="s">
        <v>250</v>
      </c>
      <c r="F226" s="13">
        <v>1125</v>
      </c>
      <c r="G226" s="13" t="s">
        <v>563</v>
      </c>
      <c r="H226" s="13">
        <v>3</v>
      </c>
      <c r="I226" s="13">
        <v>60</v>
      </c>
      <c r="J226" s="8">
        <v>5</v>
      </c>
      <c r="K226" s="14" t="s">
        <v>251</v>
      </c>
      <c r="L226" s="14">
        <v>0</v>
      </c>
      <c r="M226" s="8">
        <v>0</v>
      </c>
      <c r="N226" s="8"/>
      <c r="O226" s="23"/>
      <c r="P226" s="14">
        <f>D226-(F226+H226)*J226-M226-H226*L226</f>
        <v>60</v>
      </c>
      <c r="Q226" s="10">
        <f>P226-I226</f>
        <v>0</v>
      </c>
      <c r="R226" s="26">
        <f>(D226-P226)/D226</f>
        <v>0.98947368421052628</v>
      </c>
    </row>
    <row r="227" spans="1:18" ht="24.9" customHeight="1" x14ac:dyDescent="0.25">
      <c r="A227" s="8">
        <v>225</v>
      </c>
      <c r="B227" s="4" t="s">
        <v>178</v>
      </c>
      <c r="C227" s="21" t="s">
        <v>358</v>
      </c>
      <c r="D227" s="21">
        <v>5700</v>
      </c>
      <c r="E227" s="21" t="s">
        <v>250</v>
      </c>
      <c r="F227" s="13">
        <v>1125</v>
      </c>
      <c r="G227" s="13" t="s">
        <v>563</v>
      </c>
      <c r="H227" s="13">
        <v>3</v>
      </c>
      <c r="I227" s="13">
        <v>60</v>
      </c>
      <c r="J227" s="8">
        <v>5</v>
      </c>
      <c r="K227" s="14" t="s">
        <v>251</v>
      </c>
      <c r="L227" s="14">
        <v>0</v>
      </c>
      <c r="M227" s="8">
        <v>0</v>
      </c>
      <c r="N227" s="8"/>
      <c r="O227" s="23"/>
      <c r="P227" s="14">
        <f>D227-(F227+H227)*J227-M227-H227*L227</f>
        <v>60</v>
      </c>
      <c r="Q227" s="10">
        <f>P227-I227</f>
        <v>0</v>
      </c>
      <c r="R227" s="26">
        <f>(D227-P227)/D227</f>
        <v>0.98947368421052628</v>
      </c>
    </row>
    <row r="228" spans="1:18" ht="24.9" customHeight="1" x14ac:dyDescent="0.25">
      <c r="A228" s="8">
        <v>226</v>
      </c>
      <c r="B228" s="4" t="s">
        <v>179</v>
      </c>
      <c r="C228" s="21" t="s">
        <v>358</v>
      </c>
      <c r="D228" s="21">
        <v>5700</v>
      </c>
      <c r="E228" s="21" t="s">
        <v>250</v>
      </c>
      <c r="F228" s="13">
        <v>1125</v>
      </c>
      <c r="G228" s="13" t="s">
        <v>563</v>
      </c>
      <c r="H228" s="13">
        <v>3</v>
      </c>
      <c r="I228" s="13">
        <v>60</v>
      </c>
      <c r="J228" s="8">
        <v>5</v>
      </c>
      <c r="K228" s="14" t="s">
        <v>251</v>
      </c>
      <c r="L228" s="14">
        <v>0</v>
      </c>
      <c r="M228" s="8">
        <v>0</v>
      </c>
      <c r="N228" s="8"/>
      <c r="O228" s="23"/>
      <c r="P228" s="14">
        <f>D228-(F228+H228)*J228-M228-H228*L228</f>
        <v>60</v>
      </c>
      <c r="Q228" s="10">
        <f>P228-I228</f>
        <v>0</v>
      </c>
      <c r="R228" s="26">
        <f>(D228-P228)/D228</f>
        <v>0.98947368421052628</v>
      </c>
    </row>
    <row r="229" spans="1:18" ht="24.9" customHeight="1" x14ac:dyDescent="0.25">
      <c r="A229" s="8">
        <v>227</v>
      </c>
      <c r="B229" s="4" t="s">
        <v>180</v>
      </c>
      <c r="C229" s="21" t="s">
        <v>358</v>
      </c>
      <c r="D229" s="21">
        <v>5700</v>
      </c>
      <c r="E229" s="21" t="s">
        <v>250</v>
      </c>
      <c r="F229" s="13">
        <v>1125</v>
      </c>
      <c r="G229" s="13" t="s">
        <v>563</v>
      </c>
      <c r="H229" s="13">
        <v>3</v>
      </c>
      <c r="I229" s="13">
        <v>60</v>
      </c>
      <c r="J229" s="8">
        <v>5</v>
      </c>
      <c r="K229" s="14" t="s">
        <v>251</v>
      </c>
      <c r="L229" s="14">
        <v>0</v>
      </c>
      <c r="M229" s="8">
        <v>0</v>
      </c>
      <c r="N229" s="8"/>
      <c r="O229" s="23"/>
      <c r="P229" s="14">
        <f>D229-(F229+H229)*J229-M229-H229*L229</f>
        <v>60</v>
      </c>
      <c r="Q229" s="10">
        <f>P229-I229</f>
        <v>0</v>
      </c>
      <c r="R229" s="26">
        <f>(D229-P229)/D229</f>
        <v>0.98947368421052628</v>
      </c>
    </row>
    <row r="230" spans="1:18" ht="24.9" customHeight="1" x14ac:dyDescent="0.25">
      <c r="A230" s="8">
        <v>228</v>
      </c>
      <c r="B230" s="4" t="s">
        <v>182</v>
      </c>
      <c r="C230" s="21" t="s">
        <v>358</v>
      </c>
      <c r="D230" s="21">
        <v>5700</v>
      </c>
      <c r="E230" s="21" t="s">
        <v>250</v>
      </c>
      <c r="F230" s="13">
        <v>1125</v>
      </c>
      <c r="G230" s="13" t="s">
        <v>563</v>
      </c>
      <c r="H230" s="13">
        <v>3</v>
      </c>
      <c r="I230" s="13">
        <v>60</v>
      </c>
      <c r="J230" s="8">
        <v>5</v>
      </c>
      <c r="K230" s="14" t="s">
        <v>251</v>
      </c>
      <c r="L230" s="14">
        <v>0</v>
      </c>
      <c r="M230" s="8">
        <v>0</v>
      </c>
      <c r="N230" s="8"/>
      <c r="O230" s="23"/>
      <c r="P230" s="14">
        <f>D230-(F230+H230)*J230-M230-H230*L230</f>
        <v>60</v>
      </c>
      <c r="Q230" s="10">
        <f>P230-I230</f>
        <v>0</v>
      </c>
      <c r="R230" s="26">
        <f>(D230-P230)/D230</f>
        <v>0.98947368421052628</v>
      </c>
    </row>
    <row r="231" spans="1:18" ht="24.9" customHeight="1" x14ac:dyDescent="0.25">
      <c r="A231" s="8">
        <v>229</v>
      </c>
      <c r="B231" s="4" t="s">
        <v>439</v>
      </c>
      <c r="C231" s="13" t="s">
        <v>358</v>
      </c>
      <c r="D231" s="13">
        <v>5700</v>
      </c>
      <c r="E231" s="13" t="s">
        <v>250</v>
      </c>
      <c r="F231" s="13">
        <v>1110</v>
      </c>
      <c r="G231" s="13" t="s">
        <v>563</v>
      </c>
      <c r="H231" s="13">
        <v>3</v>
      </c>
      <c r="I231" s="13">
        <v>60</v>
      </c>
      <c r="J231" s="8">
        <v>5</v>
      </c>
      <c r="K231" s="14" t="s">
        <v>251</v>
      </c>
      <c r="L231" s="14">
        <v>0</v>
      </c>
      <c r="M231" s="8">
        <v>0</v>
      </c>
      <c r="N231" s="8"/>
      <c r="O231" s="23"/>
      <c r="P231" s="14">
        <f>D231-(F231+H231)*J231-M231-H231*L231</f>
        <v>135</v>
      </c>
      <c r="Q231" s="10">
        <f>P231-I231</f>
        <v>75</v>
      </c>
      <c r="R231" s="26">
        <f>(D231-P231)/D231</f>
        <v>0.97631578947368425</v>
      </c>
    </row>
    <row r="232" spans="1:18" ht="24.9" customHeight="1" x14ac:dyDescent="0.25">
      <c r="A232" s="8">
        <v>230</v>
      </c>
      <c r="B232" s="4" t="s">
        <v>183</v>
      </c>
      <c r="C232" s="21" t="s">
        <v>358</v>
      </c>
      <c r="D232" s="21">
        <v>5700</v>
      </c>
      <c r="E232" s="21" t="s">
        <v>250</v>
      </c>
      <c r="F232" s="13">
        <v>1110</v>
      </c>
      <c r="G232" s="13" t="s">
        <v>563</v>
      </c>
      <c r="H232" s="13">
        <v>3</v>
      </c>
      <c r="I232" s="13">
        <v>60</v>
      </c>
      <c r="J232" s="8">
        <v>5</v>
      </c>
      <c r="K232" s="14" t="s">
        <v>251</v>
      </c>
      <c r="L232" s="14">
        <v>0</v>
      </c>
      <c r="M232" s="8">
        <v>0</v>
      </c>
      <c r="N232" s="8"/>
      <c r="O232" s="23"/>
      <c r="P232" s="14">
        <f>D232-(F232+H232)*J232-M232-H232*L232</f>
        <v>135</v>
      </c>
      <c r="Q232" s="10">
        <f>P232-I232</f>
        <v>75</v>
      </c>
      <c r="R232" s="26">
        <f>(D232-P232)/D232</f>
        <v>0.97631578947368425</v>
      </c>
    </row>
    <row r="233" spans="1:18" ht="24.9" customHeight="1" x14ac:dyDescent="0.25">
      <c r="A233" s="8">
        <v>231</v>
      </c>
      <c r="B233" s="4" t="s">
        <v>149</v>
      </c>
      <c r="C233" s="21" t="s">
        <v>358</v>
      </c>
      <c r="D233" s="21">
        <v>5900</v>
      </c>
      <c r="E233" s="21" t="s">
        <v>250</v>
      </c>
      <c r="F233" s="13">
        <v>1418</v>
      </c>
      <c r="G233" s="13" t="s">
        <v>563</v>
      </c>
      <c r="H233" s="13">
        <v>3</v>
      </c>
      <c r="I233" s="13">
        <v>60</v>
      </c>
      <c r="J233" s="8">
        <v>4</v>
      </c>
      <c r="K233" s="14" t="s">
        <v>251</v>
      </c>
      <c r="L233" s="14">
        <v>0</v>
      </c>
      <c r="M233" s="8">
        <v>0</v>
      </c>
      <c r="N233" s="8"/>
      <c r="O233" s="23"/>
      <c r="P233" s="14">
        <f>D233-(F233+H233)*J233-M233-H233*L233</f>
        <v>216</v>
      </c>
      <c r="Q233" s="10">
        <f>P233-I233</f>
        <v>156</v>
      </c>
      <c r="R233" s="26">
        <f>(D233-P233)/D233</f>
        <v>0.9633898305084746</v>
      </c>
    </row>
    <row r="234" spans="1:18" ht="24.9" customHeight="1" x14ac:dyDescent="0.25">
      <c r="A234" s="8">
        <v>232</v>
      </c>
      <c r="B234" s="4" t="s">
        <v>150</v>
      </c>
      <c r="C234" s="21" t="s">
        <v>359</v>
      </c>
      <c r="D234" s="21">
        <v>6500</v>
      </c>
      <c r="E234" s="21" t="s">
        <v>250</v>
      </c>
      <c r="F234" s="13">
        <v>1168</v>
      </c>
      <c r="G234" s="13" t="s">
        <v>563</v>
      </c>
      <c r="H234" s="13">
        <v>3</v>
      </c>
      <c r="I234" s="13">
        <v>60</v>
      </c>
      <c r="J234" s="8">
        <v>5</v>
      </c>
      <c r="K234" s="14" t="s">
        <v>251</v>
      </c>
      <c r="L234" s="14">
        <v>0</v>
      </c>
      <c r="M234" s="8">
        <v>0</v>
      </c>
      <c r="N234" s="8"/>
      <c r="O234" s="23"/>
      <c r="P234" s="14">
        <f>D234-(F234+H234)*J234-M234-H234*L234</f>
        <v>645</v>
      </c>
      <c r="Q234" s="10">
        <f>P234-I234</f>
        <v>585</v>
      </c>
      <c r="R234" s="26">
        <f>(D234-P234)/D234</f>
        <v>0.90076923076923077</v>
      </c>
    </row>
    <row r="235" spans="1:18" ht="24.9" customHeight="1" x14ac:dyDescent="0.25">
      <c r="A235" s="8">
        <v>233</v>
      </c>
      <c r="B235" s="4" t="s">
        <v>151</v>
      </c>
      <c r="C235" s="21" t="s">
        <v>359</v>
      </c>
      <c r="D235" s="21">
        <v>6500</v>
      </c>
      <c r="E235" s="21" t="s">
        <v>250</v>
      </c>
      <c r="F235" s="13">
        <v>1153</v>
      </c>
      <c r="G235" s="13" t="s">
        <v>563</v>
      </c>
      <c r="H235" s="13">
        <v>3</v>
      </c>
      <c r="I235" s="13">
        <v>60</v>
      </c>
      <c r="J235" s="8">
        <v>5</v>
      </c>
      <c r="K235" s="14" t="s">
        <v>251</v>
      </c>
      <c r="L235" s="14">
        <v>0</v>
      </c>
      <c r="M235" s="8">
        <v>0</v>
      </c>
      <c r="N235" s="8"/>
      <c r="O235" s="23"/>
      <c r="P235" s="14">
        <f>D235-(F235+H235)*J235-M235-H235*L235</f>
        <v>720</v>
      </c>
      <c r="Q235" s="10">
        <f>P235-I235</f>
        <v>660</v>
      </c>
      <c r="R235" s="26">
        <f>(D235-P235)/D235</f>
        <v>0.88923076923076927</v>
      </c>
    </row>
    <row r="236" spans="1:18" ht="24.9" customHeight="1" x14ac:dyDescent="0.25">
      <c r="A236" s="8">
        <v>234</v>
      </c>
      <c r="B236" s="4" t="s">
        <v>153</v>
      </c>
      <c r="C236" s="21" t="s">
        <v>359</v>
      </c>
      <c r="D236" s="21">
        <v>6500</v>
      </c>
      <c r="E236" s="21" t="s">
        <v>250</v>
      </c>
      <c r="F236" s="13">
        <v>1146</v>
      </c>
      <c r="G236" s="13" t="s">
        <v>563</v>
      </c>
      <c r="H236" s="13">
        <v>3</v>
      </c>
      <c r="I236" s="13">
        <v>60</v>
      </c>
      <c r="J236" s="8">
        <v>5</v>
      </c>
      <c r="K236" s="14" t="s">
        <v>251</v>
      </c>
      <c r="L236" s="14">
        <v>0</v>
      </c>
      <c r="M236" s="8">
        <v>0</v>
      </c>
      <c r="N236" s="8"/>
      <c r="O236" s="23"/>
      <c r="P236" s="14">
        <f>D236-(F236+H236)*J236-M236-H236*L236</f>
        <v>755</v>
      </c>
      <c r="Q236" s="10">
        <f>P236-I236</f>
        <v>695</v>
      </c>
      <c r="R236" s="26">
        <f>(D236-P236)/D236</f>
        <v>0.88384615384615384</v>
      </c>
    </row>
    <row r="237" spans="1:18" ht="24.9" customHeight="1" x14ac:dyDescent="0.25">
      <c r="A237" s="8">
        <v>235</v>
      </c>
      <c r="B237" s="6" t="s">
        <v>94</v>
      </c>
      <c r="C237" s="21" t="s">
        <v>359</v>
      </c>
      <c r="D237" s="21">
        <v>6500</v>
      </c>
      <c r="E237" s="21" t="s">
        <v>250</v>
      </c>
      <c r="F237" s="13">
        <v>1295</v>
      </c>
      <c r="G237" s="13" t="s">
        <v>563</v>
      </c>
      <c r="H237" s="13">
        <v>3</v>
      </c>
      <c r="I237" s="13">
        <v>60</v>
      </c>
      <c r="J237" s="8">
        <v>4</v>
      </c>
      <c r="K237" s="10" t="s">
        <v>572</v>
      </c>
      <c r="L237" s="10">
        <v>1</v>
      </c>
      <c r="M237" s="8">
        <v>1153</v>
      </c>
      <c r="N237" s="8" t="s">
        <v>563</v>
      </c>
      <c r="O237" s="24"/>
      <c r="P237" s="14">
        <f>D237-(F237+H237)*J237-M237-H237*L237</f>
        <v>152</v>
      </c>
      <c r="Q237" s="10">
        <f>P237-I237</f>
        <v>92</v>
      </c>
      <c r="R237" s="26">
        <f>(D237-P237)/D237</f>
        <v>0.97661538461538466</v>
      </c>
    </row>
    <row r="238" spans="1:18" ht="24.9" customHeight="1" x14ac:dyDescent="0.25">
      <c r="A238" s="8">
        <v>236</v>
      </c>
      <c r="B238" s="9" t="s">
        <v>41</v>
      </c>
      <c r="C238" s="21" t="s">
        <v>359</v>
      </c>
      <c r="D238" s="21">
        <v>6500</v>
      </c>
      <c r="E238" s="21" t="s">
        <v>250</v>
      </c>
      <c r="F238" s="8">
        <v>1125</v>
      </c>
      <c r="G238" s="8" t="s">
        <v>563</v>
      </c>
      <c r="H238" s="13">
        <v>3</v>
      </c>
      <c r="I238" s="13">
        <v>60</v>
      </c>
      <c r="J238" s="8">
        <v>5</v>
      </c>
      <c r="K238" s="14" t="s">
        <v>251</v>
      </c>
      <c r="L238" s="14">
        <v>0</v>
      </c>
      <c r="M238" s="8">
        <v>0</v>
      </c>
      <c r="N238" s="8"/>
      <c r="O238" s="23"/>
      <c r="P238" s="14">
        <f>D238-(F238+H238)*J238-M238-H238*L238</f>
        <v>860</v>
      </c>
      <c r="Q238" s="10">
        <f>P238-I238</f>
        <v>800</v>
      </c>
      <c r="R238" s="26">
        <f>(D238-P238)/D238</f>
        <v>0.86769230769230765</v>
      </c>
    </row>
    <row r="239" spans="1:18" ht="24.9" customHeight="1" x14ac:dyDescent="0.25">
      <c r="A239" s="8">
        <v>237</v>
      </c>
      <c r="B239" s="4" t="s">
        <v>152</v>
      </c>
      <c r="C239" s="21" t="s">
        <v>359</v>
      </c>
      <c r="D239" s="21">
        <v>6500</v>
      </c>
      <c r="E239" s="21" t="s">
        <v>250</v>
      </c>
      <c r="F239" s="13">
        <v>1320</v>
      </c>
      <c r="G239" s="13" t="s">
        <v>563</v>
      </c>
      <c r="H239" s="13">
        <v>3</v>
      </c>
      <c r="I239" s="13">
        <v>60</v>
      </c>
      <c r="J239" s="8">
        <v>4</v>
      </c>
      <c r="K239" s="10" t="s">
        <v>573</v>
      </c>
      <c r="L239" s="10">
        <v>1</v>
      </c>
      <c r="M239" s="8">
        <v>1125</v>
      </c>
      <c r="N239" s="8" t="s">
        <v>563</v>
      </c>
      <c r="O239" s="23"/>
      <c r="P239" s="14">
        <f>D239-(F239+H239)*J239-M239-H239*L239</f>
        <v>80</v>
      </c>
      <c r="Q239" s="10">
        <f>P239-I239</f>
        <v>20</v>
      </c>
      <c r="R239" s="26">
        <f>(D239-P239)/D239</f>
        <v>0.98769230769230765</v>
      </c>
    </row>
    <row r="240" spans="1:18" ht="24.9" customHeight="1" x14ac:dyDescent="0.25">
      <c r="A240" s="8">
        <v>238</v>
      </c>
      <c r="B240" s="25" t="s">
        <v>168</v>
      </c>
      <c r="C240" s="21" t="s">
        <v>359</v>
      </c>
      <c r="D240" s="21">
        <v>6500</v>
      </c>
      <c r="E240" s="21" t="s">
        <v>250</v>
      </c>
      <c r="F240" s="13">
        <v>1326</v>
      </c>
      <c r="G240" s="13" t="s">
        <v>563</v>
      </c>
      <c r="H240" s="13">
        <v>2</v>
      </c>
      <c r="I240" s="13">
        <v>60</v>
      </c>
      <c r="J240" s="8">
        <v>4</v>
      </c>
      <c r="K240" s="10" t="s">
        <v>560</v>
      </c>
      <c r="L240" s="10">
        <v>1</v>
      </c>
      <c r="M240" s="8">
        <v>1125</v>
      </c>
      <c r="N240" s="8" t="s">
        <v>563</v>
      </c>
      <c r="O240" s="24"/>
      <c r="P240" s="14">
        <f>D240-(F240+H240)*J240-M240-H240*L240</f>
        <v>61</v>
      </c>
      <c r="Q240" s="10">
        <f>P240-I240</f>
        <v>1</v>
      </c>
      <c r="R240" s="26">
        <f>(D240-P240)/D240</f>
        <v>0.99061538461538456</v>
      </c>
    </row>
    <row r="241" spans="1:18" ht="24.9" customHeight="1" x14ac:dyDescent="0.25">
      <c r="A241" s="8">
        <v>239</v>
      </c>
      <c r="B241" s="25" t="s">
        <v>40</v>
      </c>
      <c r="C241" s="21" t="s">
        <v>359</v>
      </c>
      <c r="D241" s="21">
        <v>6500</v>
      </c>
      <c r="E241" s="21" t="s">
        <v>250</v>
      </c>
      <c r="F241" s="8">
        <v>1315</v>
      </c>
      <c r="G241" s="8" t="s">
        <v>563</v>
      </c>
      <c r="H241" s="8">
        <v>3</v>
      </c>
      <c r="I241" s="13">
        <v>60</v>
      </c>
      <c r="J241" s="8">
        <v>4</v>
      </c>
      <c r="K241" s="10" t="s">
        <v>560</v>
      </c>
      <c r="L241" s="10">
        <v>1</v>
      </c>
      <c r="M241" s="8">
        <v>1125</v>
      </c>
      <c r="N241" s="8" t="s">
        <v>563</v>
      </c>
      <c r="O241" s="23"/>
      <c r="P241" s="14">
        <f>D241-(F241+H241)*J241-M241-H241*L241</f>
        <v>100</v>
      </c>
      <c r="Q241" s="10">
        <f>P241-I241</f>
        <v>40</v>
      </c>
      <c r="R241" s="26">
        <f>(D241-P241)/D241</f>
        <v>0.98461538461538467</v>
      </c>
    </row>
    <row r="242" spans="1:18" ht="24.9" customHeight="1" x14ac:dyDescent="0.25">
      <c r="A242" s="8">
        <v>240</v>
      </c>
      <c r="B242" s="25" t="s">
        <v>378</v>
      </c>
      <c r="C242" s="21" t="s">
        <v>359</v>
      </c>
      <c r="D242" s="21">
        <v>6500</v>
      </c>
      <c r="E242" s="21" t="s">
        <v>250</v>
      </c>
      <c r="F242" s="8">
        <v>1260</v>
      </c>
      <c r="G242" s="8" t="s">
        <v>563</v>
      </c>
      <c r="H242" s="13">
        <v>3</v>
      </c>
      <c r="I242" s="13">
        <v>60</v>
      </c>
      <c r="J242" s="8">
        <v>5</v>
      </c>
      <c r="K242" s="14" t="s">
        <v>251</v>
      </c>
      <c r="L242" s="14">
        <v>0</v>
      </c>
      <c r="M242" s="8">
        <v>0</v>
      </c>
      <c r="N242" s="8"/>
      <c r="O242" s="23"/>
      <c r="P242" s="14">
        <f>D242-(F242+H242)*J242-M242-H242*L242</f>
        <v>185</v>
      </c>
      <c r="Q242" s="10">
        <f>P242-I242</f>
        <v>125</v>
      </c>
      <c r="R242" s="26">
        <f>(D242-P242)/D242</f>
        <v>0.97153846153846157</v>
      </c>
    </row>
    <row r="243" spans="1:18" ht="24.9" customHeight="1" x14ac:dyDescent="0.25">
      <c r="A243" s="8">
        <v>241</v>
      </c>
      <c r="B243" s="6" t="s">
        <v>79</v>
      </c>
      <c r="C243" s="21" t="s">
        <v>359</v>
      </c>
      <c r="D243" s="21">
        <v>6500</v>
      </c>
      <c r="E243" s="21" t="s">
        <v>250</v>
      </c>
      <c r="F243" s="13">
        <v>1050</v>
      </c>
      <c r="G243" s="13" t="s">
        <v>563</v>
      </c>
      <c r="H243" s="13">
        <v>3</v>
      </c>
      <c r="I243" s="13">
        <v>60</v>
      </c>
      <c r="J243" s="8">
        <v>6</v>
      </c>
      <c r="K243" s="14" t="s">
        <v>251</v>
      </c>
      <c r="L243" s="14">
        <v>0</v>
      </c>
      <c r="M243" s="8">
        <v>0</v>
      </c>
      <c r="N243" s="8"/>
      <c r="O243" s="23"/>
      <c r="P243" s="14">
        <f>D243-(F243+H243)*J243-M243-H243*L243</f>
        <v>182</v>
      </c>
      <c r="Q243" s="10">
        <f>P243-I243</f>
        <v>122</v>
      </c>
      <c r="R243" s="26">
        <f>(D243-P243)/D243</f>
        <v>0.97199999999999998</v>
      </c>
    </row>
    <row r="244" spans="1:18" ht="24.9" customHeight="1" x14ac:dyDescent="0.25">
      <c r="A244" s="8">
        <v>242</v>
      </c>
      <c r="B244" s="25" t="s">
        <v>82</v>
      </c>
      <c r="C244" s="21" t="s">
        <v>359</v>
      </c>
      <c r="D244" s="21">
        <v>6500</v>
      </c>
      <c r="E244" s="21" t="s">
        <v>250</v>
      </c>
      <c r="F244" s="13">
        <v>1280</v>
      </c>
      <c r="G244" s="13" t="s">
        <v>563</v>
      </c>
      <c r="H244" s="13">
        <v>3</v>
      </c>
      <c r="I244" s="13">
        <v>60</v>
      </c>
      <c r="J244" s="8">
        <v>5</v>
      </c>
      <c r="K244" s="14" t="s">
        <v>251</v>
      </c>
      <c r="L244" s="14">
        <v>0</v>
      </c>
      <c r="M244" s="8">
        <v>0</v>
      </c>
      <c r="N244" s="8"/>
      <c r="O244" s="23"/>
      <c r="P244" s="14">
        <f>D244-(F244+H244)*J244-M244-H244*L244</f>
        <v>85</v>
      </c>
      <c r="Q244" s="10">
        <f>P244-I244</f>
        <v>25</v>
      </c>
      <c r="R244" s="26">
        <f>(D244-P244)/D244</f>
        <v>0.9869230769230769</v>
      </c>
    </row>
    <row r="245" spans="1:18" ht="24.9" customHeight="1" x14ac:dyDescent="0.25">
      <c r="A245" s="8">
        <v>243</v>
      </c>
      <c r="B245" s="6" t="s">
        <v>90</v>
      </c>
      <c r="C245" s="21" t="s">
        <v>359</v>
      </c>
      <c r="D245" s="21">
        <v>6500</v>
      </c>
      <c r="E245" s="21" t="s">
        <v>250</v>
      </c>
      <c r="F245" s="13">
        <v>1240</v>
      </c>
      <c r="G245" s="13" t="s">
        <v>563</v>
      </c>
      <c r="H245" s="13">
        <v>3</v>
      </c>
      <c r="I245" s="13">
        <v>60</v>
      </c>
      <c r="J245" s="8">
        <v>5</v>
      </c>
      <c r="K245" s="14" t="s">
        <v>251</v>
      </c>
      <c r="L245" s="14">
        <v>0</v>
      </c>
      <c r="M245" s="8">
        <v>0</v>
      </c>
      <c r="N245" s="8"/>
      <c r="O245" s="23"/>
      <c r="P245" s="14">
        <f>D245-(F245+H245)*J245-M245-H245*L245</f>
        <v>285</v>
      </c>
      <c r="Q245" s="10">
        <f>P245-I245</f>
        <v>225</v>
      </c>
      <c r="R245" s="26">
        <f>(D245-P245)/D245</f>
        <v>0.95615384615384613</v>
      </c>
    </row>
    <row r="246" spans="1:18" ht="24.9" customHeight="1" x14ac:dyDescent="0.25">
      <c r="A246" s="8">
        <v>244</v>
      </c>
      <c r="B246" s="25" t="s">
        <v>102</v>
      </c>
      <c r="C246" s="21" t="s">
        <v>359</v>
      </c>
      <c r="D246" s="21">
        <v>6500</v>
      </c>
      <c r="E246" s="21" t="s">
        <v>250</v>
      </c>
      <c r="F246" s="13">
        <v>1275</v>
      </c>
      <c r="G246" s="13" t="s">
        <v>563</v>
      </c>
      <c r="H246" s="13">
        <v>3</v>
      </c>
      <c r="I246" s="13">
        <v>60</v>
      </c>
      <c r="J246" s="8">
        <v>5</v>
      </c>
      <c r="K246" s="14" t="s">
        <v>251</v>
      </c>
      <c r="L246" s="14">
        <v>0</v>
      </c>
      <c r="M246" s="8">
        <v>0</v>
      </c>
      <c r="N246" s="8"/>
      <c r="O246" s="23"/>
      <c r="P246" s="14">
        <f>D246-(F246+H246)*J246-M246-H246*L246</f>
        <v>110</v>
      </c>
      <c r="Q246" s="10">
        <f>P246-I246</f>
        <v>50</v>
      </c>
      <c r="R246" s="26">
        <f>(D246-P246)/D246</f>
        <v>0.98307692307692307</v>
      </c>
    </row>
    <row r="247" spans="1:18" ht="24.9" customHeight="1" x14ac:dyDescent="0.25">
      <c r="A247" s="8">
        <v>245</v>
      </c>
      <c r="B247" s="6" t="s">
        <v>103</v>
      </c>
      <c r="C247" s="21" t="s">
        <v>359</v>
      </c>
      <c r="D247" s="21">
        <v>6500</v>
      </c>
      <c r="E247" s="21" t="s">
        <v>250</v>
      </c>
      <c r="F247" s="13">
        <v>1285</v>
      </c>
      <c r="G247" s="13" t="s">
        <v>563</v>
      </c>
      <c r="H247" s="13">
        <v>3</v>
      </c>
      <c r="I247" s="13">
        <v>60</v>
      </c>
      <c r="J247" s="8">
        <v>5</v>
      </c>
      <c r="K247" s="14" t="s">
        <v>251</v>
      </c>
      <c r="L247" s="14">
        <v>0</v>
      </c>
      <c r="M247" s="8">
        <v>0</v>
      </c>
      <c r="N247" s="8"/>
      <c r="O247" s="23"/>
      <c r="P247" s="14">
        <f>D247-(F247+H247)*J247-M247-H247*L247</f>
        <v>60</v>
      </c>
      <c r="Q247" s="10">
        <f>P247-I247</f>
        <v>0</v>
      </c>
      <c r="R247" s="26">
        <f>(D247-P247)/D247</f>
        <v>0.99076923076923074</v>
      </c>
    </row>
    <row r="248" spans="1:18" ht="24.9" customHeight="1" x14ac:dyDescent="0.25">
      <c r="A248" s="8">
        <v>246</v>
      </c>
      <c r="B248" s="6" t="s">
        <v>110</v>
      </c>
      <c r="C248" s="21" t="s">
        <v>359</v>
      </c>
      <c r="D248" s="21">
        <v>6500</v>
      </c>
      <c r="E248" s="21" t="s">
        <v>250</v>
      </c>
      <c r="F248" s="13">
        <v>1030</v>
      </c>
      <c r="G248" s="13" t="s">
        <v>563</v>
      </c>
      <c r="H248" s="13">
        <v>3</v>
      </c>
      <c r="I248" s="13">
        <v>60</v>
      </c>
      <c r="J248" s="8">
        <v>5</v>
      </c>
      <c r="K248" s="10" t="s">
        <v>560</v>
      </c>
      <c r="L248" s="10">
        <v>1</v>
      </c>
      <c r="M248" s="8">
        <v>1125</v>
      </c>
      <c r="N248" s="8" t="s">
        <v>563</v>
      </c>
      <c r="O248" s="23"/>
      <c r="P248" s="14">
        <f>D248-(F248+H248)*J248-M248-H248*L248</f>
        <v>207</v>
      </c>
      <c r="Q248" s="10">
        <f>P248-I248</f>
        <v>147</v>
      </c>
      <c r="R248" s="26">
        <f>(D248-P248)/D248</f>
        <v>0.96815384615384614</v>
      </c>
    </row>
    <row r="249" spans="1:18" ht="24.9" customHeight="1" x14ac:dyDescent="0.25">
      <c r="A249" s="8">
        <v>247</v>
      </c>
      <c r="B249" s="6" t="s">
        <v>86</v>
      </c>
      <c r="C249" s="13" t="s">
        <v>359</v>
      </c>
      <c r="D249" s="13">
        <v>6500</v>
      </c>
      <c r="E249" s="13" t="s">
        <v>250</v>
      </c>
      <c r="F249" s="13">
        <v>1110</v>
      </c>
      <c r="G249" s="13" t="s">
        <v>563</v>
      </c>
      <c r="H249" s="13">
        <v>3</v>
      </c>
      <c r="I249" s="13">
        <v>60</v>
      </c>
      <c r="J249" s="8">
        <v>5</v>
      </c>
      <c r="K249" s="14" t="s">
        <v>251</v>
      </c>
      <c r="L249" s="14">
        <v>0</v>
      </c>
      <c r="M249" s="8">
        <v>0</v>
      </c>
      <c r="N249" s="8"/>
      <c r="O249" s="23"/>
      <c r="P249" s="14">
        <f>D249-(F249+H249)*J249-M249-H249*L249</f>
        <v>935</v>
      </c>
      <c r="Q249" s="10">
        <f>P249-I249</f>
        <v>875</v>
      </c>
      <c r="R249" s="26">
        <f>(D249-P249)/D249</f>
        <v>0.85615384615384615</v>
      </c>
    </row>
    <row r="250" spans="1:18" ht="24.9" customHeight="1" x14ac:dyDescent="0.25">
      <c r="A250" s="8">
        <v>248</v>
      </c>
      <c r="B250" s="11" t="s">
        <v>154</v>
      </c>
      <c r="C250" s="21" t="s">
        <v>359</v>
      </c>
      <c r="D250" s="21">
        <v>6500</v>
      </c>
      <c r="E250" s="21" t="s">
        <v>250</v>
      </c>
      <c r="F250" s="8">
        <v>1331</v>
      </c>
      <c r="G250" s="8" t="s">
        <v>563</v>
      </c>
      <c r="H250" s="8">
        <v>3</v>
      </c>
      <c r="I250" s="13">
        <v>60</v>
      </c>
      <c r="J250" s="8">
        <v>3</v>
      </c>
      <c r="K250" s="10" t="s">
        <v>560</v>
      </c>
      <c r="L250" s="10">
        <v>2</v>
      </c>
      <c r="M250" s="8">
        <v>1125</v>
      </c>
      <c r="N250" s="8" t="s">
        <v>563</v>
      </c>
      <c r="O250" s="23"/>
      <c r="P250" s="14">
        <f>D250-(F250+H250)*J250-M250-H250*L250</f>
        <v>1367</v>
      </c>
      <c r="Q250" s="10">
        <f>P250-I250</f>
        <v>1307</v>
      </c>
      <c r="R250" s="26">
        <f>(D250-P250)/D250</f>
        <v>0.78969230769230769</v>
      </c>
    </row>
    <row r="251" spans="1:18" ht="24.9" customHeight="1" x14ac:dyDescent="0.25">
      <c r="A251" s="8">
        <v>249</v>
      </c>
      <c r="B251" s="11" t="s">
        <v>222</v>
      </c>
      <c r="C251" s="21" t="s">
        <v>359</v>
      </c>
      <c r="D251" s="21">
        <v>6500</v>
      </c>
      <c r="E251" s="21" t="s">
        <v>250</v>
      </c>
      <c r="F251" s="8">
        <v>1132</v>
      </c>
      <c r="G251" s="8" t="s">
        <v>563</v>
      </c>
      <c r="H251" s="13">
        <v>3</v>
      </c>
      <c r="I251" s="13">
        <v>60</v>
      </c>
      <c r="J251" s="8">
        <v>5</v>
      </c>
      <c r="K251" s="14" t="s">
        <v>251</v>
      </c>
      <c r="L251" s="14">
        <v>0</v>
      </c>
      <c r="M251" s="8">
        <v>0</v>
      </c>
      <c r="N251" s="8"/>
      <c r="O251" s="23"/>
      <c r="P251" s="14">
        <f>D251-(F251+H251)*J251-M251-H251*L251</f>
        <v>825</v>
      </c>
      <c r="Q251" s="10">
        <f>P251-I251</f>
        <v>765</v>
      </c>
      <c r="R251" s="26">
        <f>(D251-P251)/D251</f>
        <v>0.87307692307692308</v>
      </c>
    </row>
    <row r="252" spans="1:18" ht="24.9" customHeight="1" x14ac:dyDescent="0.25">
      <c r="A252" s="8">
        <v>250</v>
      </c>
      <c r="B252" s="11" t="s">
        <v>223</v>
      </c>
      <c r="C252" s="21" t="s">
        <v>359</v>
      </c>
      <c r="D252" s="21">
        <v>6500</v>
      </c>
      <c r="E252" s="21" t="s">
        <v>250</v>
      </c>
      <c r="F252" s="8">
        <v>1077</v>
      </c>
      <c r="G252" s="8" t="s">
        <v>563</v>
      </c>
      <c r="H252" s="13">
        <v>3</v>
      </c>
      <c r="I252" s="13">
        <v>60</v>
      </c>
      <c r="J252" s="8">
        <v>5</v>
      </c>
      <c r="K252" s="14" t="s">
        <v>251</v>
      </c>
      <c r="L252" s="14">
        <v>0</v>
      </c>
      <c r="M252" s="8">
        <v>0</v>
      </c>
      <c r="N252" s="8"/>
      <c r="O252" s="23"/>
      <c r="P252" s="14">
        <f>D252-(F252+H252)*J252-M252-H252*L252</f>
        <v>1100</v>
      </c>
      <c r="Q252" s="10">
        <f>P252-I252</f>
        <v>1040</v>
      </c>
      <c r="R252" s="26">
        <f>(D252-P252)/D252</f>
        <v>0.83076923076923082</v>
      </c>
    </row>
    <row r="253" spans="1:18" ht="24.9" customHeight="1" x14ac:dyDescent="0.25">
      <c r="A253" s="8">
        <v>251</v>
      </c>
      <c r="B253" s="6" t="s">
        <v>91</v>
      </c>
      <c r="C253" s="21" t="s">
        <v>359</v>
      </c>
      <c r="D253" s="21">
        <v>6500</v>
      </c>
      <c r="E253" s="21" t="s">
        <v>250</v>
      </c>
      <c r="F253" s="13">
        <v>1140</v>
      </c>
      <c r="G253" s="13" t="s">
        <v>563</v>
      </c>
      <c r="H253" s="13">
        <v>3</v>
      </c>
      <c r="I253" s="13">
        <v>60</v>
      </c>
      <c r="J253" s="8">
        <v>5</v>
      </c>
      <c r="K253" s="14" t="s">
        <v>251</v>
      </c>
      <c r="L253" s="14">
        <v>0</v>
      </c>
      <c r="M253" s="8">
        <v>0</v>
      </c>
      <c r="N253" s="8"/>
      <c r="O253" s="23"/>
      <c r="P253" s="14">
        <f>D253-(F253+H253)*J253-M253-H253*L253</f>
        <v>785</v>
      </c>
      <c r="Q253" s="10">
        <f>P253-I253</f>
        <v>725</v>
      </c>
      <c r="R253" s="26">
        <f>(D253-P253)/D253</f>
        <v>0.87923076923076926</v>
      </c>
    </row>
    <row r="254" spans="1:18" ht="24.9" customHeight="1" x14ac:dyDescent="0.25">
      <c r="A254" s="8">
        <v>252</v>
      </c>
      <c r="B254" s="6" t="s">
        <v>83</v>
      </c>
      <c r="C254" s="21" t="s">
        <v>360</v>
      </c>
      <c r="D254" s="21">
        <v>6200</v>
      </c>
      <c r="E254" s="21" t="s">
        <v>250</v>
      </c>
      <c r="F254" s="13">
        <v>1195</v>
      </c>
      <c r="G254" s="13" t="s">
        <v>563</v>
      </c>
      <c r="H254" s="13">
        <v>3</v>
      </c>
      <c r="I254" s="13">
        <v>60</v>
      </c>
      <c r="J254" s="8">
        <v>5</v>
      </c>
      <c r="K254" s="14" t="s">
        <v>251</v>
      </c>
      <c r="L254" s="14">
        <v>0</v>
      </c>
      <c r="M254" s="8">
        <v>0</v>
      </c>
      <c r="N254" s="8"/>
      <c r="O254" s="23"/>
      <c r="P254" s="14">
        <f>D254-(F254+H254)*J254-M254-H254*L254</f>
        <v>210</v>
      </c>
      <c r="Q254" s="10">
        <f>P254-I254</f>
        <v>150</v>
      </c>
      <c r="R254" s="26">
        <f>(D254-P254)/D254</f>
        <v>0.96612903225806457</v>
      </c>
    </row>
    <row r="255" spans="1:18" ht="24.9" customHeight="1" x14ac:dyDescent="0.25">
      <c r="A255" s="8">
        <v>253</v>
      </c>
      <c r="B255" s="9" t="s">
        <v>42</v>
      </c>
      <c r="C255" s="21" t="s">
        <v>360</v>
      </c>
      <c r="D255" s="21">
        <v>6200</v>
      </c>
      <c r="E255" s="21" t="s">
        <v>250</v>
      </c>
      <c r="F255" s="8">
        <v>1250</v>
      </c>
      <c r="G255" s="8" t="s">
        <v>563</v>
      </c>
      <c r="H255" s="8">
        <v>3</v>
      </c>
      <c r="I255" s="13">
        <v>60</v>
      </c>
      <c r="J255" s="8">
        <v>4</v>
      </c>
      <c r="K255" s="14" t="s">
        <v>572</v>
      </c>
      <c r="L255" s="10">
        <v>1</v>
      </c>
      <c r="M255" s="8">
        <v>1098</v>
      </c>
      <c r="N255" s="8" t="s">
        <v>563</v>
      </c>
      <c r="O255" s="24"/>
      <c r="P255" s="14">
        <f>D255-(F255+H255)*J255-M255-H255*L255</f>
        <v>87</v>
      </c>
      <c r="Q255" s="10">
        <f>P255-I255</f>
        <v>27</v>
      </c>
      <c r="R255" s="26">
        <f>(D255-P255)/D255</f>
        <v>0.98596774193548387</v>
      </c>
    </row>
    <row r="256" spans="1:18" ht="24.9" customHeight="1" x14ac:dyDescent="0.25">
      <c r="A256" s="8">
        <v>254</v>
      </c>
      <c r="B256" s="17" t="s">
        <v>369</v>
      </c>
      <c r="C256" s="21" t="s">
        <v>358</v>
      </c>
      <c r="D256" s="21">
        <v>5700</v>
      </c>
      <c r="E256" s="21" t="s">
        <v>250</v>
      </c>
      <c r="F256" s="8">
        <v>1118</v>
      </c>
      <c r="G256" s="8" t="s">
        <v>563</v>
      </c>
      <c r="H256" s="13">
        <v>3</v>
      </c>
      <c r="I256" s="13">
        <v>60</v>
      </c>
      <c r="J256" s="8">
        <v>5</v>
      </c>
      <c r="K256" s="14" t="s">
        <v>251</v>
      </c>
      <c r="L256" s="14">
        <v>0</v>
      </c>
      <c r="M256" s="8">
        <v>0</v>
      </c>
      <c r="N256" s="22"/>
      <c r="O256" s="24"/>
      <c r="P256" s="14">
        <f>D256-(F256+H256)*J256-M256-H256*L256</f>
        <v>95</v>
      </c>
      <c r="Q256" s="10">
        <f>P256-I256</f>
        <v>35</v>
      </c>
      <c r="R256" s="26">
        <f>(D256-P256)/D256</f>
        <v>0.98333333333333328</v>
      </c>
    </row>
    <row r="257" spans="1:19" ht="24.9" customHeight="1" x14ac:dyDescent="0.25">
      <c r="A257" s="8">
        <v>255</v>
      </c>
      <c r="B257" s="17" t="s">
        <v>382</v>
      </c>
      <c r="C257" s="21" t="s">
        <v>358</v>
      </c>
      <c r="D257" s="21">
        <v>5700</v>
      </c>
      <c r="E257" s="21" t="s">
        <v>250</v>
      </c>
      <c r="F257" s="8">
        <v>1090</v>
      </c>
      <c r="G257" s="8" t="s">
        <v>563</v>
      </c>
      <c r="H257" s="13">
        <v>3</v>
      </c>
      <c r="I257" s="13">
        <v>60</v>
      </c>
      <c r="J257" s="8">
        <v>5</v>
      </c>
      <c r="K257" s="14" t="s">
        <v>251</v>
      </c>
      <c r="L257" s="14">
        <v>0</v>
      </c>
      <c r="M257" s="8">
        <v>0</v>
      </c>
      <c r="N257" s="22"/>
      <c r="O257" s="24"/>
      <c r="P257" s="14">
        <f>D257-(F257+H257)*J257-M257-H257*L257</f>
        <v>235</v>
      </c>
      <c r="Q257" s="10">
        <f>P257-I257</f>
        <v>175</v>
      </c>
      <c r="R257" s="26">
        <f>(D257-P257)/D257</f>
        <v>0.95877192982456139</v>
      </c>
    </row>
    <row r="258" spans="1:19" ht="24.9" customHeight="1" x14ac:dyDescent="0.25">
      <c r="A258" s="8">
        <v>256</v>
      </c>
      <c r="B258" s="17" t="s">
        <v>371</v>
      </c>
      <c r="C258" s="21" t="s">
        <v>358</v>
      </c>
      <c r="D258" s="21">
        <v>5700</v>
      </c>
      <c r="E258" s="21" t="s">
        <v>250</v>
      </c>
      <c r="F258" s="8">
        <v>1085</v>
      </c>
      <c r="G258" s="8" t="s">
        <v>563</v>
      </c>
      <c r="H258" s="13">
        <v>3</v>
      </c>
      <c r="I258" s="13">
        <v>60</v>
      </c>
      <c r="J258" s="8">
        <v>5</v>
      </c>
      <c r="K258" s="14" t="s">
        <v>251</v>
      </c>
      <c r="L258" s="14">
        <v>0</v>
      </c>
      <c r="M258" s="8">
        <v>0</v>
      </c>
      <c r="N258" s="22"/>
      <c r="O258" s="24"/>
      <c r="P258" s="14">
        <f>D258-(F258+H258)*J258-M258-H258*L258</f>
        <v>260</v>
      </c>
      <c r="Q258" s="10">
        <f>P258-I258</f>
        <v>200</v>
      </c>
      <c r="R258" s="26">
        <f>(D258-P258)/D258</f>
        <v>0.95438596491228067</v>
      </c>
    </row>
    <row r="259" spans="1:19" ht="24.9" customHeight="1" x14ac:dyDescent="0.25">
      <c r="A259" s="8">
        <v>257</v>
      </c>
      <c r="B259" s="17" t="s">
        <v>372</v>
      </c>
      <c r="C259" s="21" t="s">
        <v>358</v>
      </c>
      <c r="D259" s="21">
        <v>6300</v>
      </c>
      <c r="E259" s="21" t="s">
        <v>250</v>
      </c>
      <c r="F259" s="8">
        <v>1016</v>
      </c>
      <c r="G259" s="8" t="s">
        <v>563</v>
      </c>
      <c r="H259" s="13">
        <v>3</v>
      </c>
      <c r="I259" s="13">
        <v>60</v>
      </c>
      <c r="J259" s="8">
        <v>6</v>
      </c>
      <c r="K259" s="14" t="s">
        <v>251</v>
      </c>
      <c r="L259" s="14">
        <v>0</v>
      </c>
      <c r="M259" s="8">
        <v>0</v>
      </c>
      <c r="N259" s="22"/>
      <c r="O259" s="24"/>
      <c r="P259" s="14">
        <f>D259-(F259+H259)*J259-M259-H259*L259</f>
        <v>186</v>
      </c>
      <c r="Q259" s="10">
        <f>P259-I259</f>
        <v>126</v>
      </c>
      <c r="R259" s="26">
        <f>(D259-P259)/D259</f>
        <v>0.97047619047619049</v>
      </c>
    </row>
    <row r="260" spans="1:19" ht="24.9" customHeight="1" x14ac:dyDescent="0.25">
      <c r="A260" s="8">
        <v>258</v>
      </c>
      <c r="B260" s="17" t="s">
        <v>226</v>
      </c>
      <c r="C260" s="21" t="s">
        <v>358</v>
      </c>
      <c r="D260" s="21">
        <v>6300</v>
      </c>
      <c r="E260" s="21" t="s">
        <v>250</v>
      </c>
      <c r="F260" s="8">
        <v>1221</v>
      </c>
      <c r="G260" s="8" t="s">
        <v>563</v>
      </c>
      <c r="H260" s="13">
        <v>3</v>
      </c>
      <c r="I260" s="13">
        <v>60</v>
      </c>
      <c r="J260" s="8">
        <v>5</v>
      </c>
      <c r="K260" s="14" t="s">
        <v>251</v>
      </c>
      <c r="L260" s="14">
        <v>0</v>
      </c>
      <c r="M260" s="8">
        <v>0</v>
      </c>
      <c r="N260" s="22"/>
      <c r="O260" s="24"/>
      <c r="P260" s="14">
        <f>D260-(F260+H260)*J260-M260-H260*L260</f>
        <v>180</v>
      </c>
      <c r="Q260" s="10">
        <f>P260-I260</f>
        <v>120</v>
      </c>
      <c r="R260" s="26">
        <f>(D260-P260)/D260</f>
        <v>0.97142857142857142</v>
      </c>
    </row>
    <row r="261" spans="1:19" ht="24.9" customHeight="1" x14ac:dyDescent="0.25">
      <c r="A261" s="8">
        <v>259</v>
      </c>
      <c r="B261" s="17" t="s">
        <v>227</v>
      </c>
      <c r="C261" s="21" t="s">
        <v>358</v>
      </c>
      <c r="D261" s="21">
        <v>6300</v>
      </c>
      <c r="E261" s="21" t="s">
        <v>250</v>
      </c>
      <c r="F261" s="8">
        <v>1215</v>
      </c>
      <c r="G261" s="8" t="s">
        <v>563</v>
      </c>
      <c r="H261" s="13">
        <v>3</v>
      </c>
      <c r="I261" s="13">
        <v>60</v>
      </c>
      <c r="J261" s="8">
        <v>5</v>
      </c>
      <c r="K261" s="14" t="s">
        <v>251</v>
      </c>
      <c r="L261" s="14">
        <v>0</v>
      </c>
      <c r="M261" s="8">
        <v>0</v>
      </c>
      <c r="N261" s="22"/>
      <c r="O261" s="24"/>
      <c r="P261" s="14">
        <f>D261-(F261+H261)*J261-M261-H261*L261</f>
        <v>210</v>
      </c>
      <c r="Q261" s="10">
        <f>P261-I261</f>
        <v>150</v>
      </c>
      <c r="R261" s="26">
        <f>(D261-P261)/D261</f>
        <v>0.96666666666666667</v>
      </c>
    </row>
    <row r="262" spans="1:19" ht="24.9" customHeight="1" x14ac:dyDescent="0.25">
      <c r="A262" s="8">
        <v>260</v>
      </c>
      <c r="B262" s="17" t="s">
        <v>228</v>
      </c>
      <c r="C262" s="21" t="s">
        <v>358</v>
      </c>
      <c r="D262" s="21">
        <v>6300</v>
      </c>
      <c r="E262" s="21" t="s">
        <v>250</v>
      </c>
      <c r="F262" s="8">
        <v>1010</v>
      </c>
      <c r="G262" s="8" t="s">
        <v>563</v>
      </c>
      <c r="H262" s="13">
        <v>3</v>
      </c>
      <c r="I262" s="13">
        <v>60</v>
      </c>
      <c r="J262" s="8">
        <v>6</v>
      </c>
      <c r="K262" s="14" t="s">
        <v>251</v>
      </c>
      <c r="L262" s="14">
        <v>0</v>
      </c>
      <c r="M262" s="8">
        <v>0</v>
      </c>
      <c r="N262" s="22"/>
      <c r="O262" s="24"/>
      <c r="P262" s="14">
        <f>D262-(F262+H262)*J262-M262-H262*L262</f>
        <v>222</v>
      </c>
      <c r="Q262" s="10">
        <f>P262-I262</f>
        <v>162</v>
      </c>
      <c r="R262" s="26">
        <f>(D262-P262)/D262</f>
        <v>0.96476190476190471</v>
      </c>
    </row>
    <row r="263" spans="1:19" ht="24.9" customHeight="1" x14ac:dyDescent="0.25">
      <c r="A263" s="8">
        <v>261</v>
      </c>
      <c r="B263" s="17" t="s">
        <v>373</v>
      </c>
      <c r="C263" s="21" t="s">
        <v>358</v>
      </c>
      <c r="D263" s="21">
        <v>5900</v>
      </c>
      <c r="E263" s="21" t="s">
        <v>250</v>
      </c>
      <c r="F263" s="8">
        <v>1126</v>
      </c>
      <c r="G263" s="8" t="s">
        <v>563</v>
      </c>
      <c r="H263" s="13">
        <v>3</v>
      </c>
      <c r="I263" s="13">
        <v>60</v>
      </c>
      <c r="J263" s="8">
        <v>5</v>
      </c>
      <c r="K263" s="14" t="s">
        <v>251</v>
      </c>
      <c r="L263" s="14">
        <v>0</v>
      </c>
      <c r="M263" s="8">
        <v>0</v>
      </c>
      <c r="N263" s="22"/>
      <c r="O263" s="24"/>
      <c r="P263" s="14">
        <f>D263-(F263+H263)*J263-M263-H263*L263</f>
        <v>255</v>
      </c>
      <c r="Q263" s="10">
        <f>P263-I263</f>
        <v>195</v>
      </c>
      <c r="R263" s="26">
        <f>(D263-P263)/D263</f>
        <v>0.95677966101694911</v>
      </c>
    </row>
    <row r="264" spans="1:19" ht="24.9" customHeight="1" x14ac:dyDescent="0.25">
      <c r="A264" s="8">
        <v>262</v>
      </c>
      <c r="B264" s="17" t="s">
        <v>229</v>
      </c>
      <c r="C264" s="21" t="s">
        <v>358</v>
      </c>
      <c r="D264" s="21">
        <v>5900</v>
      </c>
      <c r="E264" s="21" t="s">
        <v>250</v>
      </c>
      <c r="F264" s="8">
        <v>1150</v>
      </c>
      <c r="G264" s="8" t="s">
        <v>563</v>
      </c>
      <c r="H264" s="13">
        <v>3</v>
      </c>
      <c r="I264" s="13">
        <v>60</v>
      </c>
      <c r="J264" s="8">
        <v>5</v>
      </c>
      <c r="K264" s="14" t="s">
        <v>251</v>
      </c>
      <c r="L264" s="14">
        <v>0</v>
      </c>
      <c r="M264" s="8">
        <v>0</v>
      </c>
      <c r="N264" s="22"/>
      <c r="O264" s="24"/>
      <c r="P264" s="14">
        <f>D264-(F264+H264)*J264-M264-H264*L264</f>
        <v>135</v>
      </c>
      <c r="Q264" s="10">
        <f>P264-I264</f>
        <v>75</v>
      </c>
      <c r="R264" s="26">
        <f>(D264-P264)/D264</f>
        <v>0.97711864406779658</v>
      </c>
    </row>
    <row r="265" spans="1:19" ht="24.9" customHeight="1" x14ac:dyDescent="0.25">
      <c r="A265" s="8">
        <v>263</v>
      </c>
      <c r="B265" s="17" t="s">
        <v>230</v>
      </c>
      <c r="C265" s="13" t="s">
        <v>358</v>
      </c>
      <c r="D265" s="13">
        <v>5700</v>
      </c>
      <c r="E265" s="13" t="s">
        <v>250</v>
      </c>
      <c r="F265" s="8">
        <v>1080</v>
      </c>
      <c r="G265" s="8" t="s">
        <v>563</v>
      </c>
      <c r="H265" s="13">
        <v>3</v>
      </c>
      <c r="I265" s="13">
        <v>60</v>
      </c>
      <c r="J265" s="8">
        <v>5</v>
      </c>
      <c r="K265" s="14" t="s">
        <v>251</v>
      </c>
      <c r="L265" s="14">
        <v>0</v>
      </c>
      <c r="M265" s="8">
        <v>0</v>
      </c>
      <c r="N265" s="22"/>
      <c r="O265" s="24"/>
      <c r="P265" s="14">
        <f>D265-(F265+H265)*J265-M265-H265*L265</f>
        <v>285</v>
      </c>
      <c r="Q265" s="10">
        <f>P265-I265</f>
        <v>225</v>
      </c>
      <c r="R265" s="26">
        <f>(D265-P265)/D265</f>
        <v>0.95</v>
      </c>
    </row>
    <row r="266" spans="1:19" ht="24.9" customHeight="1" x14ac:dyDescent="0.25">
      <c r="A266" s="8">
        <v>264</v>
      </c>
      <c r="B266" s="11" t="s">
        <v>231</v>
      </c>
      <c r="C266" s="21" t="s">
        <v>357</v>
      </c>
      <c r="D266" s="21">
        <v>6300</v>
      </c>
      <c r="E266" s="21" t="s">
        <v>250</v>
      </c>
      <c r="F266" s="13">
        <v>1045</v>
      </c>
      <c r="G266" s="13" t="s">
        <v>563</v>
      </c>
      <c r="H266" s="13">
        <v>2</v>
      </c>
      <c r="I266" s="13">
        <v>60</v>
      </c>
      <c r="J266" s="13">
        <v>4</v>
      </c>
      <c r="K266" s="27" t="s">
        <v>399</v>
      </c>
      <c r="L266" s="27">
        <v>2</v>
      </c>
      <c r="M266" s="13">
        <v>1010</v>
      </c>
      <c r="N266" s="13" t="s">
        <v>563</v>
      </c>
      <c r="O266" s="29"/>
      <c r="P266" s="14">
        <f>D266-(F266+H266)*J266-M266-H266*L266</f>
        <v>1098</v>
      </c>
      <c r="Q266" s="10">
        <f>P266-I266</f>
        <v>1038</v>
      </c>
      <c r="R266" s="26">
        <f>(D266-P266)/D266</f>
        <v>0.82571428571428573</v>
      </c>
    </row>
    <row r="267" spans="1:19" ht="24.9" customHeight="1" x14ac:dyDescent="0.25">
      <c r="A267" s="8">
        <v>265</v>
      </c>
      <c r="B267" s="17" t="s">
        <v>232</v>
      </c>
      <c r="C267" s="21" t="s">
        <v>357</v>
      </c>
      <c r="D267" s="21">
        <v>5800</v>
      </c>
      <c r="E267" s="21" t="s">
        <v>250</v>
      </c>
      <c r="F267" s="8">
        <v>920</v>
      </c>
      <c r="G267" s="8" t="s">
        <v>563</v>
      </c>
      <c r="H267" s="13">
        <v>3</v>
      </c>
      <c r="I267" s="13">
        <v>60</v>
      </c>
      <c r="J267" s="8">
        <v>6</v>
      </c>
      <c r="K267" s="14" t="s">
        <v>486</v>
      </c>
      <c r="L267" s="14">
        <v>0</v>
      </c>
      <c r="M267" s="8">
        <v>0</v>
      </c>
      <c r="N267" s="8"/>
      <c r="O267" s="24"/>
      <c r="P267" s="14">
        <f>D267-(F267+H267)*J267-M267-H267*L267</f>
        <v>262</v>
      </c>
      <c r="Q267" s="10">
        <f>P267-I267</f>
        <v>202</v>
      </c>
      <c r="R267" s="26">
        <f>(D267-P267)/D267</f>
        <v>0.95482758620689656</v>
      </c>
      <c r="S267" s="7" t="s">
        <v>488</v>
      </c>
    </row>
    <row r="268" spans="1:19" ht="24.9" customHeight="1" x14ac:dyDescent="0.25">
      <c r="A268" s="8">
        <v>266</v>
      </c>
      <c r="B268" s="17" t="s">
        <v>233</v>
      </c>
      <c r="C268" s="21" t="s">
        <v>555</v>
      </c>
      <c r="D268" s="21">
        <v>5500</v>
      </c>
      <c r="E268" s="21" t="s">
        <v>250</v>
      </c>
      <c r="F268" s="8">
        <v>1285</v>
      </c>
      <c r="G268" s="8" t="s">
        <v>563</v>
      </c>
      <c r="H268" s="8">
        <v>3</v>
      </c>
      <c r="I268" s="13">
        <v>60</v>
      </c>
      <c r="J268" s="8">
        <v>3</v>
      </c>
      <c r="K268" s="14" t="s">
        <v>568</v>
      </c>
      <c r="L268" s="10">
        <v>1</v>
      </c>
      <c r="M268" s="8">
        <v>1505</v>
      </c>
      <c r="N268" s="8" t="s">
        <v>563</v>
      </c>
      <c r="O268" s="24"/>
      <c r="P268" s="14">
        <f>D268-(F268+H268)*J268-M268-H268*L268</f>
        <v>128</v>
      </c>
      <c r="Q268" s="10">
        <f>P268-I268</f>
        <v>68</v>
      </c>
      <c r="R268" s="26">
        <f>(D268-P268)/D268</f>
        <v>0.97672727272727278</v>
      </c>
    </row>
    <row r="269" spans="1:19" ht="24.9" customHeight="1" x14ac:dyDescent="0.25">
      <c r="A269" s="8">
        <v>267</v>
      </c>
      <c r="B269" s="17" t="s">
        <v>234</v>
      </c>
      <c r="C269" s="21" t="s">
        <v>357</v>
      </c>
      <c r="D269" s="21">
        <v>6300</v>
      </c>
      <c r="E269" s="21" t="s">
        <v>250</v>
      </c>
      <c r="F269" s="8">
        <v>1305</v>
      </c>
      <c r="G269" s="8" t="s">
        <v>563</v>
      </c>
      <c r="H269" s="8">
        <v>2</v>
      </c>
      <c r="I269" s="13">
        <v>60</v>
      </c>
      <c r="J269" s="8">
        <v>4</v>
      </c>
      <c r="K269" s="14" t="s">
        <v>570</v>
      </c>
      <c r="L269" s="10">
        <v>1</v>
      </c>
      <c r="M269" s="8">
        <v>1010</v>
      </c>
      <c r="N269" s="8" t="s">
        <v>563</v>
      </c>
      <c r="O269" s="23"/>
      <c r="P269" s="14">
        <f>D269-(F269+H269)*J269-M269-H269*L269</f>
        <v>60</v>
      </c>
      <c r="Q269" s="10">
        <f>P269-I269</f>
        <v>0</v>
      </c>
      <c r="R269" s="26">
        <f>(D269-P269)/D269</f>
        <v>0.99047619047619051</v>
      </c>
      <c r="S269" s="7" t="s">
        <v>406</v>
      </c>
    </row>
    <row r="270" spans="1:19" ht="24.9" customHeight="1" x14ac:dyDescent="0.25">
      <c r="A270" s="8">
        <v>268</v>
      </c>
      <c r="B270" s="17" t="s">
        <v>235</v>
      </c>
      <c r="C270" s="21" t="s">
        <v>357</v>
      </c>
      <c r="D270" s="21">
        <v>6100</v>
      </c>
      <c r="E270" s="21" t="s">
        <v>250</v>
      </c>
      <c r="F270" s="8">
        <v>1169</v>
      </c>
      <c r="G270" s="8" t="s">
        <v>563</v>
      </c>
      <c r="H270" s="8">
        <v>2</v>
      </c>
      <c r="I270" s="13">
        <v>60</v>
      </c>
      <c r="J270" s="8">
        <v>4</v>
      </c>
      <c r="K270" s="14" t="s">
        <v>569</v>
      </c>
      <c r="L270" s="10">
        <v>1</v>
      </c>
      <c r="M270" s="8">
        <v>1210</v>
      </c>
      <c r="N270" s="8" t="s">
        <v>563</v>
      </c>
      <c r="O270" s="24"/>
      <c r="P270" s="14">
        <f>D270-(F270+H270)*J270-M270-H270*L270</f>
        <v>204</v>
      </c>
      <c r="Q270" s="10">
        <f>P270-I270</f>
        <v>144</v>
      </c>
      <c r="R270" s="26">
        <f>(D270-P270)/D270</f>
        <v>0.96655737704918032</v>
      </c>
      <c r="S270" s="7" t="s">
        <v>406</v>
      </c>
    </row>
    <row r="271" spans="1:19" ht="24.9" customHeight="1" x14ac:dyDescent="0.25">
      <c r="A271" s="8">
        <v>269</v>
      </c>
      <c r="B271" s="17" t="s">
        <v>236</v>
      </c>
      <c r="C271" s="21" t="s">
        <v>357</v>
      </c>
      <c r="D271" s="21">
        <v>5800</v>
      </c>
      <c r="E271" s="21" t="s">
        <v>250</v>
      </c>
      <c r="F271" s="8">
        <v>630.5</v>
      </c>
      <c r="G271" s="8" t="s">
        <v>563</v>
      </c>
      <c r="H271" s="13">
        <v>3</v>
      </c>
      <c r="I271" s="13">
        <v>60</v>
      </c>
      <c r="J271" s="8">
        <v>9</v>
      </c>
      <c r="K271" s="14" t="s">
        <v>251</v>
      </c>
      <c r="L271" s="14">
        <v>0</v>
      </c>
      <c r="M271" s="8">
        <v>0</v>
      </c>
      <c r="N271" s="22"/>
      <c r="O271" s="24"/>
      <c r="P271" s="14">
        <f>D271-(F271+H271)*J271-M271-H271*L271</f>
        <v>98.5</v>
      </c>
      <c r="Q271" s="10">
        <f>P271-I271</f>
        <v>38.5</v>
      </c>
      <c r="R271" s="26">
        <f>(D271-P271)/D271</f>
        <v>0.98301724137931035</v>
      </c>
    </row>
    <row r="272" spans="1:19" ht="24.9" customHeight="1" x14ac:dyDescent="0.25">
      <c r="A272" s="8">
        <v>270</v>
      </c>
      <c r="B272" s="17" t="s">
        <v>134</v>
      </c>
      <c r="C272" s="21" t="s">
        <v>357</v>
      </c>
      <c r="D272" s="21">
        <v>5800</v>
      </c>
      <c r="E272" s="21" t="s">
        <v>250</v>
      </c>
      <c r="F272" s="8">
        <v>633</v>
      </c>
      <c r="G272" s="8" t="s">
        <v>563</v>
      </c>
      <c r="H272" s="13">
        <v>3</v>
      </c>
      <c r="I272" s="13">
        <v>60</v>
      </c>
      <c r="J272" s="8">
        <v>9</v>
      </c>
      <c r="K272" s="14" t="s">
        <v>251</v>
      </c>
      <c r="L272" s="14">
        <v>0</v>
      </c>
      <c r="M272" s="8">
        <v>0</v>
      </c>
      <c r="N272" s="22"/>
      <c r="O272" s="24"/>
      <c r="P272" s="14">
        <f>D272-(F272+H272)*J272-M272-H272*L272</f>
        <v>76</v>
      </c>
      <c r="Q272" s="10">
        <f>P272-I272</f>
        <v>16</v>
      </c>
      <c r="R272" s="26">
        <f>(D272-P272)/D272</f>
        <v>0.98689655172413793</v>
      </c>
    </row>
    <row r="273" spans="1:18" ht="24.9" customHeight="1" x14ac:dyDescent="0.25">
      <c r="A273" s="8">
        <v>271</v>
      </c>
      <c r="B273" s="17" t="s">
        <v>237</v>
      </c>
      <c r="C273" s="21" t="s">
        <v>357</v>
      </c>
      <c r="D273" s="21">
        <v>5800</v>
      </c>
      <c r="E273" s="21" t="s">
        <v>250</v>
      </c>
      <c r="F273" s="8">
        <v>709</v>
      </c>
      <c r="G273" s="8" t="s">
        <v>563</v>
      </c>
      <c r="H273" s="13">
        <v>3</v>
      </c>
      <c r="I273" s="13">
        <v>60</v>
      </c>
      <c r="J273" s="8">
        <v>8</v>
      </c>
      <c r="K273" s="14" t="s">
        <v>251</v>
      </c>
      <c r="L273" s="14">
        <v>0</v>
      </c>
      <c r="M273" s="8">
        <v>0</v>
      </c>
      <c r="N273" s="22"/>
      <c r="O273" s="24"/>
      <c r="P273" s="14">
        <f>D273-(F273+H273)*J273-M273-H273*L273</f>
        <v>104</v>
      </c>
      <c r="Q273" s="10">
        <f>P273-I273</f>
        <v>44</v>
      </c>
      <c r="R273" s="26">
        <f>(D273-P273)/D273</f>
        <v>0.98206896551724143</v>
      </c>
    </row>
    <row r="274" spans="1:18" ht="24.9" customHeight="1" x14ac:dyDescent="0.25">
      <c r="A274" s="8">
        <v>272</v>
      </c>
      <c r="B274" s="17" t="s">
        <v>238</v>
      </c>
      <c r="C274" s="21" t="s">
        <v>357</v>
      </c>
      <c r="D274" s="21">
        <v>5800</v>
      </c>
      <c r="E274" s="21" t="s">
        <v>250</v>
      </c>
      <c r="F274" s="8">
        <v>909</v>
      </c>
      <c r="G274" s="8" t="s">
        <v>563</v>
      </c>
      <c r="H274" s="8">
        <v>2</v>
      </c>
      <c r="I274" s="13">
        <v>60</v>
      </c>
      <c r="J274" s="8">
        <v>5</v>
      </c>
      <c r="K274" s="14" t="s">
        <v>570</v>
      </c>
      <c r="L274" s="10">
        <v>1</v>
      </c>
      <c r="M274" s="8">
        <v>1010</v>
      </c>
      <c r="N274" s="8" t="s">
        <v>563</v>
      </c>
      <c r="O274" s="24"/>
      <c r="P274" s="14">
        <f>D274-(F274+H274)*J274-M274-H274*L274</f>
        <v>233</v>
      </c>
      <c r="Q274" s="10">
        <f>P274-I274</f>
        <v>173</v>
      </c>
      <c r="R274" s="26">
        <f>(D274-P274)/D274</f>
        <v>0.95982758620689657</v>
      </c>
    </row>
    <row r="275" spans="1:18" ht="24.9" customHeight="1" x14ac:dyDescent="0.25">
      <c r="A275" s="8">
        <v>273</v>
      </c>
      <c r="B275" s="17" t="s">
        <v>239</v>
      </c>
      <c r="C275" s="21" t="s">
        <v>555</v>
      </c>
      <c r="D275" s="21">
        <v>5500</v>
      </c>
      <c r="E275" s="21" t="s">
        <v>250</v>
      </c>
      <c r="F275" s="8">
        <v>510.5</v>
      </c>
      <c r="G275" s="8" t="s">
        <v>563</v>
      </c>
      <c r="H275" s="13">
        <v>3</v>
      </c>
      <c r="I275" s="13">
        <v>60</v>
      </c>
      <c r="J275" s="8">
        <v>10</v>
      </c>
      <c r="K275" s="14" t="s">
        <v>376</v>
      </c>
      <c r="L275" s="14">
        <v>0</v>
      </c>
      <c r="M275" s="8">
        <v>0</v>
      </c>
      <c r="N275" s="8"/>
      <c r="O275" s="24"/>
      <c r="P275" s="14">
        <f>D275-(F275+H275)*J275-M275-H275*L275</f>
        <v>365</v>
      </c>
      <c r="Q275" s="10">
        <f>P275-I275</f>
        <v>305</v>
      </c>
      <c r="R275" s="26">
        <f>(D275-P275)/D275</f>
        <v>0.9336363636363636</v>
      </c>
    </row>
    <row r="276" spans="1:18" ht="24.9" customHeight="1" x14ac:dyDescent="0.25">
      <c r="A276" s="8">
        <v>274</v>
      </c>
      <c r="B276" s="17" t="s">
        <v>240</v>
      </c>
      <c r="C276" s="21" t="s">
        <v>555</v>
      </c>
      <c r="D276" s="21">
        <v>5500</v>
      </c>
      <c r="E276" s="21" t="s">
        <v>250</v>
      </c>
      <c r="F276" s="8">
        <v>645.5</v>
      </c>
      <c r="G276" s="8" t="s">
        <v>563</v>
      </c>
      <c r="H276" s="8">
        <v>3</v>
      </c>
      <c r="I276" s="13">
        <v>60</v>
      </c>
      <c r="J276" s="8">
        <v>6</v>
      </c>
      <c r="K276" s="14" t="s">
        <v>568</v>
      </c>
      <c r="L276" s="10">
        <v>1</v>
      </c>
      <c r="M276" s="8">
        <v>1505</v>
      </c>
      <c r="N276" s="8" t="s">
        <v>563</v>
      </c>
      <c r="O276" s="24"/>
      <c r="P276" s="14">
        <f>D276-(F276+H276)*J276-M276-H276*L276</f>
        <v>101</v>
      </c>
      <c r="Q276" s="10">
        <f>P276-I276</f>
        <v>41</v>
      </c>
      <c r="R276" s="26">
        <f>(D276-P276)/D276</f>
        <v>0.98163636363636364</v>
      </c>
    </row>
    <row r="277" spans="1:18" ht="24.9" customHeight="1" x14ac:dyDescent="0.25">
      <c r="A277" s="8">
        <v>275</v>
      </c>
      <c r="B277" s="17" t="s">
        <v>241</v>
      </c>
      <c r="C277" s="21" t="s">
        <v>357</v>
      </c>
      <c r="D277" s="21">
        <v>6100</v>
      </c>
      <c r="E277" s="21" t="s">
        <v>250</v>
      </c>
      <c r="F277" s="8">
        <v>739.5</v>
      </c>
      <c r="G277" s="8" t="s">
        <v>563</v>
      </c>
      <c r="H277" s="13">
        <v>3</v>
      </c>
      <c r="I277" s="13">
        <v>60</v>
      </c>
      <c r="J277" s="8">
        <v>8</v>
      </c>
      <c r="K277" s="14" t="s">
        <v>251</v>
      </c>
      <c r="L277" s="14">
        <v>0</v>
      </c>
      <c r="M277" s="8">
        <v>0</v>
      </c>
      <c r="N277" s="22"/>
      <c r="O277" s="24"/>
      <c r="P277" s="14">
        <f>D277-(F277+H277)*J277-M277-H277*L277</f>
        <v>160</v>
      </c>
      <c r="Q277" s="10">
        <f>P277-I277</f>
        <v>100</v>
      </c>
      <c r="R277" s="26">
        <f>(D277-P277)/D277</f>
        <v>0.97377049180327868</v>
      </c>
    </row>
    <row r="278" spans="1:18" ht="24.9" customHeight="1" x14ac:dyDescent="0.25">
      <c r="A278" s="8">
        <v>276</v>
      </c>
      <c r="B278" s="17" t="s">
        <v>242</v>
      </c>
      <c r="C278" s="21" t="s">
        <v>357</v>
      </c>
      <c r="D278" s="21">
        <v>5800</v>
      </c>
      <c r="E278" s="21" t="s">
        <v>250</v>
      </c>
      <c r="F278" s="8">
        <v>699.5</v>
      </c>
      <c r="G278" s="8" t="s">
        <v>563</v>
      </c>
      <c r="H278" s="13">
        <v>3</v>
      </c>
      <c r="I278" s="13">
        <v>60</v>
      </c>
      <c r="J278" s="8">
        <v>8</v>
      </c>
      <c r="K278" s="14" t="s">
        <v>251</v>
      </c>
      <c r="L278" s="14">
        <v>0</v>
      </c>
      <c r="M278" s="8">
        <v>0</v>
      </c>
      <c r="N278" s="22"/>
      <c r="O278" s="24"/>
      <c r="P278" s="14">
        <f>D278-(F278+H278)*J278-M278-H278*L278</f>
        <v>180</v>
      </c>
      <c r="Q278" s="10">
        <f>P278-I278</f>
        <v>120</v>
      </c>
      <c r="R278" s="26">
        <f>(D278-P278)/D278</f>
        <v>0.96896551724137936</v>
      </c>
    </row>
    <row r="279" spans="1:18" ht="24.9" customHeight="1" x14ac:dyDescent="0.25">
      <c r="A279" s="8">
        <v>277</v>
      </c>
      <c r="B279" s="17" t="s">
        <v>243</v>
      </c>
      <c r="C279" s="21" t="s">
        <v>357</v>
      </c>
      <c r="D279" s="21">
        <v>6300</v>
      </c>
      <c r="E279" s="21" t="s">
        <v>250</v>
      </c>
      <c r="F279" s="8">
        <v>512.5</v>
      </c>
      <c r="G279" s="8" t="s">
        <v>563</v>
      </c>
      <c r="H279" s="13">
        <v>3</v>
      </c>
      <c r="I279" s="13">
        <v>60</v>
      </c>
      <c r="J279" s="8">
        <v>12</v>
      </c>
      <c r="K279" s="14" t="s">
        <v>251</v>
      </c>
      <c r="L279" s="14">
        <v>0</v>
      </c>
      <c r="M279" s="8">
        <v>0</v>
      </c>
      <c r="N279" s="22"/>
      <c r="O279" s="24"/>
      <c r="P279" s="14">
        <f>D279-(F279+H279)*J279-M279-H279*L279</f>
        <v>114</v>
      </c>
      <c r="Q279" s="10">
        <f>P279-I279</f>
        <v>54</v>
      </c>
      <c r="R279" s="26">
        <f>(D279-P279)/D279</f>
        <v>0.98190476190476195</v>
      </c>
    </row>
    <row r="280" spans="1:18" ht="24.9" customHeight="1" x14ac:dyDescent="0.25">
      <c r="A280" s="8">
        <v>278</v>
      </c>
      <c r="B280" s="17" t="s">
        <v>244</v>
      </c>
      <c r="C280" s="21" t="s">
        <v>357</v>
      </c>
      <c r="D280" s="21">
        <v>6100</v>
      </c>
      <c r="E280" s="21" t="s">
        <v>250</v>
      </c>
      <c r="F280" s="8">
        <v>647.5</v>
      </c>
      <c r="G280" s="8" t="s">
        <v>563</v>
      </c>
      <c r="H280" s="13">
        <v>3</v>
      </c>
      <c r="I280" s="13">
        <v>60</v>
      </c>
      <c r="J280" s="8">
        <v>9</v>
      </c>
      <c r="K280" s="14" t="s">
        <v>376</v>
      </c>
      <c r="L280" s="14">
        <v>0</v>
      </c>
      <c r="M280" s="8">
        <v>0</v>
      </c>
      <c r="N280" s="8"/>
      <c r="O280" s="24"/>
      <c r="P280" s="14">
        <f>D280-(F280+H280)*J280-M280-H280*L280</f>
        <v>245.5</v>
      </c>
      <c r="Q280" s="10">
        <f>P280-I280</f>
        <v>185.5</v>
      </c>
      <c r="R280" s="26">
        <f>(D280-P280)/D280</f>
        <v>0.95975409836065573</v>
      </c>
    </row>
    <row r="281" spans="1:18" ht="24.9" customHeight="1" x14ac:dyDescent="0.25">
      <c r="A281" s="8">
        <v>279</v>
      </c>
      <c r="B281" s="17" t="s">
        <v>125</v>
      </c>
      <c r="C281" s="21" t="s">
        <v>358</v>
      </c>
      <c r="D281" s="21">
        <v>5700</v>
      </c>
      <c r="E281" s="21" t="s">
        <v>250</v>
      </c>
      <c r="F281" s="8">
        <v>1115</v>
      </c>
      <c r="G281" s="8" t="s">
        <v>563</v>
      </c>
      <c r="H281" s="13">
        <v>3</v>
      </c>
      <c r="I281" s="13">
        <v>60</v>
      </c>
      <c r="J281" s="8">
        <v>5</v>
      </c>
      <c r="K281" s="14" t="s">
        <v>251</v>
      </c>
      <c r="L281" s="14">
        <v>0</v>
      </c>
      <c r="M281" s="8">
        <v>0</v>
      </c>
      <c r="N281" s="22"/>
      <c r="O281" s="24"/>
      <c r="P281" s="14">
        <f>D281-(F281+H281)*J281-M281-H281*L281</f>
        <v>110</v>
      </c>
      <c r="Q281" s="10">
        <f>P281-I281</f>
        <v>50</v>
      </c>
      <c r="R281" s="26">
        <f>(D281-P281)/D281</f>
        <v>0.98070175438596496</v>
      </c>
    </row>
    <row r="282" spans="1:18" ht="24.9" customHeight="1" x14ac:dyDescent="0.25">
      <c r="A282" s="8">
        <v>280</v>
      </c>
      <c r="B282" s="17" t="s">
        <v>245</v>
      </c>
      <c r="C282" s="21" t="s">
        <v>357</v>
      </c>
      <c r="D282" s="21">
        <v>6300</v>
      </c>
      <c r="E282" s="21" t="s">
        <v>250</v>
      </c>
      <c r="F282" s="8">
        <v>692.5</v>
      </c>
      <c r="G282" s="8" t="s">
        <v>563</v>
      </c>
      <c r="H282" s="8">
        <v>2</v>
      </c>
      <c r="I282" s="13">
        <v>60</v>
      </c>
      <c r="J282" s="8">
        <v>7</v>
      </c>
      <c r="K282" s="14" t="s">
        <v>569</v>
      </c>
      <c r="L282" s="10">
        <v>1</v>
      </c>
      <c r="M282" s="8">
        <v>1210</v>
      </c>
      <c r="N282" s="8" t="s">
        <v>563</v>
      </c>
      <c r="O282" s="24"/>
      <c r="P282" s="14">
        <f>D282-(F282+H282)*J282-M282-H282*L282</f>
        <v>226.5</v>
      </c>
      <c r="Q282" s="10">
        <f>P282-I282</f>
        <v>166.5</v>
      </c>
      <c r="R282" s="26">
        <f>(D282-P282)/D282</f>
        <v>0.96404761904761904</v>
      </c>
    </row>
    <row r="283" spans="1:18" ht="24.9" customHeight="1" x14ac:dyDescent="0.25">
      <c r="A283" s="8">
        <v>281</v>
      </c>
      <c r="B283" s="17" t="s">
        <v>246</v>
      </c>
      <c r="C283" s="13" t="s">
        <v>357</v>
      </c>
      <c r="D283" s="13">
        <v>5800</v>
      </c>
      <c r="E283" s="13" t="s">
        <v>250</v>
      </c>
      <c r="F283" s="8">
        <v>697.5</v>
      </c>
      <c r="G283" s="8" t="s">
        <v>563</v>
      </c>
      <c r="H283" s="13">
        <v>3</v>
      </c>
      <c r="I283" s="13">
        <v>60</v>
      </c>
      <c r="J283" s="8">
        <v>8</v>
      </c>
      <c r="K283" s="14" t="s">
        <v>251</v>
      </c>
      <c r="L283" s="14">
        <v>0</v>
      </c>
      <c r="M283" s="8">
        <v>0</v>
      </c>
      <c r="N283" s="22"/>
      <c r="O283" s="24"/>
      <c r="P283" s="14">
        <f>D283-(F283+H283)*J283-M283-H283*L283</f>
        <v>196</v>
      </c>
      <c r="Q283" s="10">
        <f>P283-I283</f>
        <v>136</v>
      </c>
      <c r="R283" s="26">
        <f>(D283-P283)/D283</f>
        <v>0.96620689655172409</v>
      </c>
    </row>
    <row r="284" spans="1:18" ht="24.9" customHeight="1" x14ac:dyDescent="0.25">
      <c r="A284" s="8">
        <v>282</v>
      </c>
      <c r="B284" s="17" t="s">
        <v>247</v>
      </c>
      <c r="C284" s="21" t="s">
        <v>357</v>
      </c>
      <c r="D284" s="21">
        <v>6100</v>
      </c>
      <c r="E284" s="21" t="s">
        <v>250</v>
      </c>
      <c r="F284" s="8">
        <v>657.5</v>
      </c>
      <c r="G284" s="8" t="s">
        <v>563</v>
      </c>
      <c r="H284" s="13">
        <v>3</v>
      </c>
      <c r="I284" s="13">
        <v>60</v>
      </c>
      <c r="J284" s="8">
        <v>9</v>
      </c>
      <c r="K284" s="14" t="s">
        <v>251</v>
      </c>
      <c r="L284" s="14">
        <v>0</v>
      </c>
      <c r="M284" s="8">
        <v>0</v>
      </c>
      <c r="N284" s="22"/>
      <c r="O284" s="24"/>
      <c r="P284" s="14">
        <f>D284-(F284+H284)*J284-M284-H284*L284</f>
        <v>155.5</v>
      </c>
      <c r="Q284" s="10">
        <f>P284-I284</f>
        <v>95.5</v>
      </c>
      <c r="R284" s="26">
        <f>(D284-P284)/D284</f>
        <v>0.9745081967213115</v>
      </c>
    </row>
    <row r="285" spans="1:18" ht="24.9" customHeight="1" x14ac:dyDescent="0.25">
      <c r="A285" s="8">
        <v>283</v>
      </c>
      <c r="B285" s="17" t="s">
        <v>66</v>
      </c>
      <c r="C285" s="21" t="s">
        <v>357</v>
      </c>
      <c r="D285" s="21">
        <v>5800</v>
      </c>
      <c r="E285" s="21" t="s">
        <v>250</v>
      </c>
      <c r="F285" s="8">
        <v>642</v>
      </c>
      <c r="G285" s="8" t="s">
        <v>563</v>
      </c>
      <c r="H285" s="8">
        <v>2</v>
      </c>
      <c r="I285" s="13">
        <v>60</v>
      </c>
      <c r="J285" s="8">
        <v>8</v>
      </c>
      <c r="K285" s="10" t="s">
        <v>377</v>
      </c>
      <c r="L285" s="10">
        <v>1</v>
      </c>
      <c r="M285" s="8">
        <v>560</v>
      </c>
      <c r="N285" s="8" t="s">
        <v>563</v>
      </c>
      <c r="O285" s="24"/>
      <c r="P285" s="14">
        <f>D285-(F285+H285)*J285-M285-H285*L285</f>
        <v>86</v>
      </c>
      <c r="Q285" s="10">
        <f>P285-I285</f>
        <v>26</v>
      </c>
      <c r="R285" s="26">
        <f>(D285-P285)/D285</f>
        <v>0.9851724137931035</v>
      </c>
    </row>
    <row r="286" spans="1:18" ht="24.9" customHeight="1" x14ac:dyDescent="0.25">
      <c r="A286" s="8">
        <v>284</v>
      </c>
      <c r="B286" s="17" t="s">
        <v>67</v>
      </c>
      <c r="C286" s="21" t="s">
        <v>357</v>
      </c>
      <c r="D286" s="21">
        <v>6300</v>
      </c>
      <c r="E286" s="21" t="s">
        <v>250</v>
      </c>
      <c r="F286" s="8">
        <v>507</v>
      </c>
      <c r="G286" s="8" t="s">
        <v>563</v>
      </c>
      <c r="H286" s="13">
        <v>3</v>
      </c>
      <c r="I286" s="13">
        <v>60</v>
      </c>
      <c r="J286" s="8">
        <v>12</v>
      </c>
      <c r="K286" s="14" t="s">
        <v>251</v>
      </c>
      <c r="L286" s="14">
        <v>0</v>
      </c>
      <c r="M286" s="8">
        <v>0</v>
      </c>
      <c r="N286" s="22"/>
      <c r="O286" s="24"/>
      <c r="P286" s="14">
        <f>D286-(F286+H286)*J286-M286-H286*L286</f>
        <v>180</v>
      </c>
      <c r="Q286" s="10">
        <f>P286-I286</f>
        <v>120</v>
      </c>
      <c r="R286" s="26">
        <f>(D286-P286)/D286</f>
        <v>0.97142857142857142</v>
      </c>
    </row>
    <row r="287" spans="1:18" ht="24.9" customHeight="1" x14ac:dyDescent="0.25">
      <c r="A287" s="8">
        <v>285</v>
      </c>
      <c r="B287" s="17" t="s">
        <v>257</v>
      </c>
      <c r="C287" s="21" t="s">
        <v>357</v>
      </c>
      <c r="D287" s="21">
        <v>5800</v>
      </c>
      <c r="E287" s="21" t="s">
        <v>250</v>
      </c>
      <c r="F287" s="8">
        <v>1108</v>
      </c>
      <c r="G287" s="8" t="s">
        <v>563</v>
      </c>
      <c r="H287" s="8">
        <v>2</v>
      </c>
      <c r="I287" s="13">
        <v>60</v>
      </c>
      <c r="J287" s="8">
        <v>4</v>
      </c>
      <c r="K287" s="14" t="s">
        <v>569</v>
      </c>
      <c r="L287" s="10">
        <v>1</v>
      </c>
      <c r="M287" s="8">
        <v>1210</v>
      </c>
      <c r="N287" s="8" t="s">
        <v>563</v>
      </c>
      <c r="O287" s="24"/>
      <c r="P287" s="14">
        <f>D287-(F287+H287)*J287-M287-H287*L287</f>
        <v>148</v>
      </c>
      <c r="Q287" s="10">
        <f>P287-I287</f>
        <v>88</v>
      </c>
      <c r="R287" s="26">
        <f>(D287-P287)/D287</f>
        <v>0.97448275862068967</v>
      </c>
    </row>
    <row r="288" spans="1:18" ht="24.9" customHeight="1" x14ac:dyDescent="0.25">
      <c r="A288" s="8">
        <v>286</v>
      </c>
      <c r="B288" s="17" t="s">
        <v>258</v>
      </c>
      <c r="C288" s="21" t="s">
        <v>358</v>
      </c>
      <c r="D288" s="21">
        <v>6300</v>
      </c>
      <c r="E288" s="21" t="s">
        <v>250</v>
      </c>
      <c r="F288" s="8">
        <v>1195</v>
      </c>
      <c r="G288" s="8" t="s">
        <v>563</v>
      </c>
      <c r="H288" s="13">
        <v>3</v>
      </c>
      <c r="I288" s="13">
        <v>60</v>
      </c>
      <c r="J288" s="8">
        <v>5</v>
      </c>
      <c r="K288" s="14" t="s">
        <v>251</v>
      </c>
      <c r="L288" s="14">
        <v>0</v>
      </c>
      <c r="M288" s="8">
        <v>0</v>
      </c>
      <c r="N288" s="22"/>
      <c r="O288" s="24"/>
      <c r="P288" s="14">
        <f>D288-(F288+H288)*J288-M288-H288*L288</f>
        <v>310</v>
      </c>
      <c r="Q288" s="10">
        <f>P288-I288</f>
        <v>250</v>
      </c>
      <c r="R288" s="26">
        <f>(D288-P288)/D288</f>
        <v>0.95079365079365075</v>
      </c>
    </row>
    <row r="289" spans="1:18" ht="24.9" customHeight="1" x14ac:dyDescent="0.25">
      <c r="A289" s="8">
        <v>287</v>
      </c>
      <c r="B289" s="17" t="s">
        <v>259</v>
      </c>
      <c r="C289" s="21" t="s">
        <v>357</v>
      </c>
      <c r="D289" s="21">
        <v>6300</v>
      </c>
      <c r="E289" s="21" t="s">
        <v>250</v>
      </c>
      <c r="F289" s="8">
        <v>1278</v>
      </c>
      <c r="G289" s="8" t="s">
        <v>563</v>
      </c>
      <c r="H289" s="8">
        <v>2</v>
      </c>
      <c r="I289" s="13">
        <v>60</v>
      </c>
      <c r="J289" s="8">
        <v>4</v>
      </c>
      <c r="K289" s="14" t="s">
        <v>570</v>
      </c>
      <c r="L289" s="10">
        <v>1</v>
      </c>
      <c r="M289" s="8">
        <v>1010</v>
      </c>
      <c r="N289" s="8" t="s">
        <v>563</v>
      </c>
      <c r="O289" s="24"/>
      <c r="P289" s="14">
        <f>D289-(F289+H289)*J289-M289-H289*L289</f>
        <v>168</v>
      </c>
      <c r="Q289" s="10">
        <f>P289-I289</f>
        <v>108</v>
      </c>
      <c r="R289" s="26">
        <f>(D289-P289)/D289</f>
        <v>0.97333333333333338</v>
      </c>
    </row>
    <row r="290" spans="1:18" ht="24.9" customHeight="1" x14ac:dyDescent="0.25">
      <c r="A290" s="8">
        <v>288</v>
      </c>
      <c r="B290" s="17" t="s">
        <v>260</v>
      </c>
      <c r="C290" s="21" t="s">
        <v>554</v>
      </c>
      <c r="D290" s="21">
        <v>6100</v>
      </c>
      <c r="E290" s="21" t="s">
        <v>261</v>
      </c>
      <c r="F290" s="8">
        <v>580</v>
      </c>
      <c r="G290" s="8" t="s">
        <v>563</v>
      </c>
      <c r="H290" s="13">
        <v>3</v>
      </c>
      <c r="I290" s="13">
        <v>60</v>
      </c>
      <c r="J290" s="8">
        <v>10</v>
      </c>
      <c r="K290" s="14" t="s">
        <v>251</v>
      </c>
      <c r="L290" s="14">
        <v>0</v>
      </c>
      <c r="M290" s="8">
        <v>0</v>
      </c>
      <c r="N290" s="22"/>
      <c r="O290" s="24"/>
      <c r="P290" s="14">
        <f>D290-(F290+H290)*J290-M290-H290*L290</f>
        <v>270</v>
      </c>
      <c r="Q290" s="10">
        <f>P290-I290</f>
        <v>210</v>
      </c>
      <c r="R290" s="26">
        <f>(D290-P290)/D290</f>
        <v>0.95573770491803278</v>
      </c>
    </row>
    <row r="291" spans="1:18" ht="24.9" customHeight="1" x14ac:dyDescent="0.25">
      <c r="A291" s="8">
        <v>289</v>
      </c>
      <c r="B291" s="17" t="s">
        <v>374</v>
      </c>
      <c r="C291" s="21" t="s">
        <v>360</v>
      </c>
      <c r="D291" s="21">
        <v>6200</v>
      </c>
      <c r="E291" s="21" t="s">
        <v>261</v>
      </c>
      <c r="F291" s="8">
        <v>1113</v>
      </c>
      <c r="G291" s="8" t="s">
        <v>563</v>
      </c>
      <c r="H291" s="13">
        <v>3</v>
      </c>
      <c r="I291" s="13">
        <v>60</v>
      </c>
      <c r="J291" s="8">
        <v>5</v>
      </c>
      <c r="K291" s="14" t="s">
        <v>251</v>
      </c>
      <c r="L291" s="14">
        <v>0</v>
      </c>
      <c r="M291" s="8">
        <v>0</v>
      </c>
      <c r="N291" s="8"/>
      <c r="O291" s="24"/>
      <c r="P291" s="14">
        <f>D291-(F291+H291)*J291-M291-H291*L291</f>
        <v>620</v>
      </c>
      <c r="Q291" s="10">
        <f>P291-I291</f>
        <v>560</v>
      </c>
      <c r="R291" s="26">
        <f>(D291-P291)/D291</f>
        <v>0.9</v>
      </c>
    </row>
    <row r="292" spans="1:18" ht="24.9" customHeight="1" x14ac:dyDescent="0.25">
      <c r="A292" s="8">
        <v>290</v>
      </c>
      <c r="B292" s="17" t="s">
        <v>375</v>
      </c>
      <c r="C292" s="21" t="s">
        <v>360</v>
      </c>
      <c r="D292" s="21">
        <v>6200</v>
      </c>
      <c r="E292" s="21" t="s">
        <v>261</v>
      </c>
      <c r="F292" s="8">
        <v>1098</v>
      </c>
      <c r="G292" s="8" t="s">
        <v>563</v>
      </c>
      <c r="H292" s="8">
        <v>3</v>
      </c>
      <c r="I292" s="13">
        <v>60</v>
      </c>
      <c r="J292" s="8">
        <v>4</v>
      </c>
      <c r="K292" s="14" t="s">
        <v>263</v>
      </c>
      <c r="L292" s="10">
        <v>1</v>
      </c>
      <c r="M292" s="8">
        <v>1175</v>
      </c>
      <c r="N292" s="8" t="s">
        <v>563</v>
      </c>
      <c r="O292" s="24"/>
      <c r="P292" s="14">
        <f>D292-(F292+H292)*J292-M292-H292*L292</f>
        <v>618</v>
      </c>
      <c r="Q292" s="10">
        <f>P292-I292</f>
        <v>558</v>
      </c>
      <c r="R292" s="26">
        <f>(D292-P292)/D292</f>
        <v>0.90032258064516124</v>
      </c>
    </row>
    <row r="293" spans="1:18" ht="24.9" customHeight="1" x14ac:dyDescent="0.25">
      <c r="A293" s="8">
        <v>291</v>
      </c>
      <c r="B293" s="17" t="s">
        <v>262</v>
      </c>
      <c r="C293" s="21" t="s">
        <v>359</v>
      </c>
      <c r="D293" s="21">
        <v>6500</v>
      </c>
      <c r="E293" s="21" t="s">
        <v>261</v>
      </c>
      <c r="F293" s="8">
        <v>1210</v>
      </c>
      <c r="G293" s="8" t="s">
        <v>563</v>
      </c>
      <c r="H293" s="13">
        <v>3</v>
      </c>
      <c r="I293" s="13">
        <v>60</v>
      </c>
      <c r="J293" s="8">
        <v>5</v>
      </c>
      <c r="K293" s="14" t="s">
        <v>251</v>
      </c>
      <c r="L293" s="14">
        <v>0</v>
      </c>
      <c r="M293" s="8">
        <v>0</v>
      </c>
      <c r="N293" s="8"/>
      <c r="O293" s="23"/>
      <c r="P293" s="14">
        <f>D293-(F293+H293)*J293-M293-H293*L293</f>
        <v>435</v>
      </c>
      <c r="Q293" s="10">
        <f>P293-I293</f>
        <v>375</v>
      </c>
      <c r="R293" s="26">
        <f>(D293-P293)/D293</f>
        <v>0.93307692307692303</v>
      </c>
    </row>
    <row r="294" spans="1:18" ht="24.9" customHeight="1" x14ac:dyDescent="0.25">
      <c r="A294" s="8">
        <v>292</v>
      </c>
      <c r="B294" s="17" t="s">
        <v>263</v>
      </c>
      <c r="C294" s="21" t="s">
        <v>359</v>
      </c>
      <c r="D294" s="21">
        <v>6500</v>
      </c>
      <c r="E294" s="21" t="s">
        <v>261</v>
      </c>
      <c r="F294" s="8">
        <v>1230</v>
      </c>
      <c r="G294" s="8" t="s">
        <v>563</v>
      </c>
      <c r="H294" s="13">
        <v>3</v>
      </c>
      <c r="I294" s="13">
        <v>60</v>
      </c>
      <c r="J294" s="8">
        <v>5</v>
      </c>
      <c r="K294" s="14" t="s">
        <v>251</v>
      </c>
      <c r="L294" s="14">
        <v>0</v>
      </c>
      <c r="M294" s="8">
        <v>0</v>
      </c>
      <c r="N294" s="8"/>
      <c r="O294" s="23"/>
      <c r="P294" s="14">
        <f>D294-(F294+H294)*J294-M294-H294*L294</f>
        <v>335</v>
      </c>
      <c r="Q294" s="10">
        <f>P294-I294</f>
        <v>275</v>
      </c>
      <c r="R294" s="26">
        <f>(D294-P294)/D294</f>
        <v>0.94846153846153847</v>
      </c>
    </row>
    <row r="295" spans="1:18" ht="24.9" customHeight="1" x14ac:dyDescent="0.25">
      <c r="A295" s="8">
        <v>293</v>
      </c>
      <c r="B295" s="17" t="s">
        <v>264</v>
      </c>
      <c r="C295" s="21" t="s">
        <v>357</v>
      </c>
      <c r="D295" s="21">
        <v>5800</v>
      </c>
      <c r="E295" s="21" t="s">
        <v>261</v>
      </c>
      <c r="F295" s="8">
        <v>1460</v>
      </c>
      <c r="G295" s="8" t="s">
        <v>563</v>
      </c>
      <c r="H295" s="8">
        <v>2</v>
      </c>
      <c r="I295" s="13">
        <v>60</v>
      </c>
      <c r="J295" s="8">
        <v>3</v>
      </c>
      <c r="K295" s="14" t="s">
        <v>569</v>
      </c>
      <c r="L295" s="10">
        <v>1</v>
      </c>
      <c r="M295" s="8">
        <v>1210</v>
      </c>
      <c r="N295" s="8" t="s">
        <v>563</v>
      </c>
      <c r="O295" s="24"/>
      <c r="P295" s="14">
        <f>D295-(F295+H295)*J295-M295-H295*L295</f>
        <v>202</v>
      </c>
      <c r="Q295" s="10">
        <f>P295-I295</f>
        <v>142</v>
      </c>
      <c r="R295" s="26">
        <f>(D295-P295)/D295</f>
        <v>0.96517241379310348</v>
      </c>
    </row>
    <row r="296" spans="1:18" ht="24.9" customHeight="1" x14ac:dyDescent="0.25">
      <c r="A296" s="8">
        <v>294</v>
      </c>
      <c r="B296" s="17" t="s">
        <v>265</v>
      </c>
      <c r="C296" s="21" t="s">
        <v>357</v>
      </c>
      <c r="D296" s="21">
        <v>5800</v>
      </c>
      <c r="E296" s="21" t="s">
        <v>261</v>
      </c>
      <c r="F296" s="8">
        <v>1145</v>
      </c>
      <c r="G296" s="8" t="s">
        <v>563</v>
      </c>
      <c r="H296" s="13">
        <v>3</v>
      </c>
      <c r="I296" s="13">
        <v>60</v>
      </c>
      <c r="J296" s="8">
        <v>5</v>
      </c>
      <c r="K296" s="14" t="s">
        <v>251</v>
      </c>
      <c r="L296" s="14">
        <v>0</v>
      </c>
      <c r="M296" s="8">
        <v>0</v>
      </c>
      <c r="N296" s="22"/>
      <c r="O296" s="24"/>
      <c r="P296" s="14">
        <f>D296-(F296+H296)*J296-M296-H296*L296</f>
        <v>60</v>
      </c>
      <c r="Q296" s="10">
        <f>P296-I296</f>
        <v>0</v>
      </c>
      <c r="R296" s="26">
        <f>(D296-P296)/D296</f>
        <v>0.98965517241379308</v>
      </c>
    </row>
    <row r="297" spans="1:18" ht="24.9" customHeight="1" x14ac:dyDescent="0.25">
      <c r="A297" s="8">
        <v>295</v>
      </c>
      <c r="B297" s="17" t="s">
        <v>266</v>
      </c>
      <c r="C297" s="13" t="s">
        <v>555</v>
      </c>
      <c r="D297" s="13">
        <v>5500</v>
      </c>
      <c r="E297" s="13" t="s">
        <v>261</v>
      </c>
      <c r="F297" s="8">
        <v>1085</v>
      </c>
      <c r="G297" s="8" t="s">
        <v>563</v>
      </c>
      <c r="H297" s="13">
        <v>3</v>
      </c>
      <c r="I297" s="13">
        <v>60</v>
      </c>
      <c r="J297" s="8">
        <v>5</v>
      </c>
      <c r="K297" s="14" t="s">
        <v>251</v>
      </c>
      <c r="L297" s="14">
        <v>0</v>
      </c>
      <c r="M297" s="8">
        <v>0</v>
      </c>
      <c r="N297" s="55"/>
      <c r="O297" s="30"/>
      <c r="P297" s="14">
        <f>D297-(F297+H297)*J297-M297-H297*L297</f>
        <v>60</v>
      </c>
      <c r="Q297" s="10">
        <f>P297-I297</f>
        <v>0</v>
      </c>
      <c r="R297" s="26">
        <f>(D297-P297)/D297</f>
        <v>0.98909090909090913</v>
      </c>
    </row>
    <row r="298" spans="1:18" ht="24.9" customHeight="1" x14ac:dyDescent="0.25">
      <c r="A298" s="8">
        <v>296</v>
      </c>
      <c r="B298" s="17" t="s">
        <v>267</v>
      </c>
      <c r="C298" s="21" t="s">
        <v>357</v>
      </c>
      <c r="D298" s="21">
        <v>6300</v>
      </c>
      <c r="E298" s="21" t="s">
        <v>261</v>
      </c>
      <c r="F298" s="16">
        <v>465</v>
      </c>
      <c r="G298" s="16" t="s">
        <v>575</v>
      </c>
      <c r="H298" s="16">
        <v>2</v>
      </c>
      <c r="I298" s="13">
        <v>60</v>
      </c>
      <c r="J298" s="16">
        <v>11</v>
      </c>
      <c r="K298" s="14" t="s">
        <v>570</v>
      </c>
      <c r="L298" s="10">
        <v>1</v>
      </c>
      <c r="M298" s="8">
        <v>1010</v>
      </c>
      <c r="N298" s="8" t="s">
        <v>563</v>
      </c>
      <c r="O298" s="14" t="s">
        <v>413</v>
      </c>
      <c r="P298" s="14">
        <f>D298-(F298+H298)*J298-M298-H298*L298</f>
        <v>151</v>
      </c>
      <c r="Q298" s="10">
        <f>P298-I298</f>
        <v>91</v>
      </c>
      <c r="R298" s="26">
        <f>(D298-P298)/D298</f>
        <v>0.97603174603174603</v>
      </c>
    </row>
    <row r="299" spans="1:18" ht="24.9" customHeight="1" x14ac:dyDescent="0.25">
      <c r="A299" s="8">
        <v>297</v>
      </c>
      <c r="B299" s="17" t="s">
        <v>268</v>
      </c>
      <c r="C299" s="21" t="s">
        <v>357</v>
      </c>
      <c r="D299" s="21">
        <v>5800</v>
      </c>
      <c r="E299" s="13" t="s">
        <v>261</v>
      </c>
      <c r="F299" s="16">
        <v>520</v>
      </c>
      <c r="G299" s="16" t="s">
        <v>575</v>
      </c>
      <c r="H299" s="16">
        <v>2</v>
      </c>
      <c r="I299" s="13">
        <v>60</v>
      </c>
      <c r="J299" s="8">
        <v>9</v>
      </c>
      <c r="K299" s="14" t="s">
        <v>570</v>
      </c>
      <c r="L299" s="10">
        <v>1</v>
      </c>
      <c r="M299" s="8">
        <v>1010</v>
      </c>
      <c r="N299" s="8" t="s">
        <v>563</v>
      </c>
      <c r="O299" s="14" t="s">
        <v>413</v>
      </c>
      <c r="P299" s="14">
        <f>D299-(F299+H299)*J299-M299-H299*L299</f>
        <v>90</v>
      </c>
      <c r="Q299" s="10">
        <f>P299-I299</f>
        <v>30</v>
      </c>
      <c r="R299" s="26">
        <f>(D299-P299)/D299</f>
        <v>0.98448275862068968</v>
      </c>
    </row>
    <row r="300" spans="1:18" ht="24.9" customHeight="1" x14ac:dyDescent="0.25">
      <c r="A300" s="8">
        <v>298</v>
      </c>
      <c r="B300" s="17" t="s">
        <v>527</v>
      </c>
      <c r="C300" s="13" t="s">
        <v>357</v>
      </c>
      <c r="D300" s="13">
        <v>5800</v>
      </c>
      <c r="E300" s="13" t="s">
        <v>261</v>
      </c>
      <c r="F300" s="8">
        <v>1417</v>
      </c>
      <c r="G300" s="8" t="s">
        <v>563</v>
      </c>
      <c r="H300" s="13">
        <v>3</v>
      </c>
      <c r="I300" s="13">
        <v>60</v>
      </c>
      <c r="J300" s="8">
        <v>4</v>
      </c>
      <c r="K300" s="14" t="s">
        <v>251</v>
      </c>
      <c r="L300" s="14">
        <v>0</v>
      </c>
      <c r="M300" s="8">
        <v>0</v>
      </c>
      <c r="N300" s="8"/>
      <c r="O300" s="23" t="s">
        <v>364</v>
      </c>
      <c r="P300" s="14">
        <f>D300-(F300+H300)*J300-M300-H300*L300</f>
        <v>120</v>
      </c>
      <c r="Q300" s="10">
        <f>P300-I300</f>
        <v>60</v>
      </c>
      <c r="R300" s="26">
        <f>(D300-P300)/D300</f>
        <v>0.97931034482758617</v>
      </c>
    </row>
    <row r="301" spans="1:18" ht="24.9" customHeight="1" x14ac:dyDescent="0.25">
      <c r="A301" s="8">
        <v>299</v>
      </c>
      <c r="B301" s="17" t="s">
        <v>270</v>
      </c>
      <c r="C301" s="21" t="s">
        <v>357</v>
      </c>
      <c r="D301" s="21">
        <v>5800</v>
      </c>
      <c r="E301" s="13" t="s">
        <v>261</v>
      </c>
      <c r="F301" s="8">
        <v>1136</v>
      </c>
      <c r="G301" s="8" t="s">
        <v>563</v>
      </c>
      <c r="H301" s="13">
        <v>3</v>
      </c>
      <c r="I301" s="13">
        <v>60</v>
      </c>
      <c r="J301" s="8">
        <v>5</v>
      </c>
      <c r="K301" s="14" t="s">
        <v>251</v>
      </c>
      <c r="L301" s="14">
        <v>0</v>
      </c>
      <c r="M301" s="8">
        <v>0</v>
      </c>
      <c r="N301" s="8"/>
      <c r="O301" s="24"/>
      <c r="P301" s="14">
        <f>D301-(F301+H301)*J301-M301-H301*L301</f>
        <v>105</v>
      </c>
      <c r="Q301" s="10">
        <f>P301-I301</f>
        <v>45</v>
      </c>
      <c r="R301" s="26">
        <f>(D301-P301)/D301</f>
        <v>0.98189655172413792</v>
      </c>
    </row>
    <row r="302" spans="1:18" ht="24.9" customHeight="1" x14ac:dyDescent="0.25">
      <c r="A302" s="8">
        <v>300</v>
      </c>
      <c r="B302" s="17" t="s">
        <v>271</v>
      </c>
      <c r="C302" s="21" t="s">
        <v>357</v>
      </c>
      <c r="D302" s="21">
        <v>5800</v>
      </c>
      <c r="E302" s="21" t="s">
        <v>261</v>
      </c>
      <c r="F302" s="8">
        <v>946</v>
      </c>
      <c r="G302" s="8" t="s">
        <v>563</v>
      </c>
      <c r="H302" s="13">
        <v>3</v>
      </c>
      <c r="I302" s="13">
        <v>60</v>
      </c>
      <c r="J302" s="8">
        <v>6</v>
      </c>
      <c r="K302" s="14" t="s">
        <v>251</v>
      </c>
      <c r="L302" s="14">
        <v>0</v>
      </c>
      <c r="M302" s="8">
        <v>0</v>
      </c>
      <c r="N302" s="8"/>
      <c r="O302" s="24"/>
      <c r="P302" s="14">
        <f>D302-(F302+H302)*J302-M302-H302*L302</f>
        <v>106</v>
      </c>
      <c r="Q302" s="10">
        <f>P302-I302</f>
        <v>46</v>
      </c>
      <c r="R302" s="26">
        <f>(D302-P302)/D302</f>
        <v>0.98172413793103452</v>
      </c>
    </row>
    <row r="303" spans="1:18" ht="24.9" customHeight="1" x14ac:dyDescent="0.25">
      <c r="A303" s="8">
        <v>301</v>
      </c>
      <c r="B303" s="17" t="s">
        <v>273</v>
      </c>
      <c r="C303" s="21" t="s">
        <v>357</v>
      </c>
      <c r="D303" s="21">
        <v>6100</v>
      </c>
      <c r="E303" s="13" t="s">
        <v>261</v>
      </c>
      <c r="F303" s="8">
        <v>997</v>
      </c>
      <c r="G303" s="8" t="s">
        <v>563</v>
      </c>
      <c r="H303" s="13">
        <v>3</v>
      </c>
      <c r="I303" s="13">
        <v>60</v>
      </c>
      <c r="J303" s="8">
        <v>6</v>
      </c>
      <c r="K303" s="14" t="s">
        <v>251</v>
      </c>
      <c r="L303" s="14">
        <v>0</v>
      </c>
      <c r="M303" s="8">
        <v>0</v>
      </c>
      <c r="N303" s="8"/>
      <c r="O303" s="24"/>
      <c r="P303" s="14">
        <f>D303-(F303+H303)*J303-M303-H303*L303</f>
        <v>100</v>
      </c>
      <c r="Q303" s="10">
        <f>P303-I303</f>
        <v>40</v>
      </c>
      <c r="R303" s="26">
        <f>(D303-P303)/D303</f>
        <v>0.98360655737704916</v>
      </c>
    </row>
    <row r="304" spans="1:18" ht="24.9" customHeight="1" x14ac:dyDescent="0.25">
      <c r="A304" s="8">
        <v>302</v>
      </c>
      <c r="B304" s="17" t="s">
        <v>272</v>
      </c>
      <c r="C304" s="21" t="s">
        <v>357</v>
      </c>
      <c r="D304" s="21">
        <v>5800</v>
      </c>
      <c r="E304" s="13" t="s">
        <v>261</v>
      </c>
      <c r="F304" s="8">
        <v>1097</v>
      </c>
      <c r="G304" s="8" t="s">
        <v>563</v>
      </c>
      <c r="H304" s="8">
        <v>2</v>
      </c>
      <c r="I304" s="13">
        <v>60</v>
      </c>
      <c r="J304" s="8">
        <v>4</v>
      </c>
      <c r="K304" s="14" t="s">
        <v>570</v>
      </c>
      <c r="L304" s="10">
        <v>1</v>
      </c>
      <c r="M304" s="8">
        <v>1010</v>
      </c>
      <c r="N304" s="8" t="s">
        <v>563</v>
      </c>
      <c r="O304" s="24"/>
      <c r="P304" s="14">
        <f>D304-(F304+H304)*J304-M304-H304*L304</f>
        <v>392</v>
      </c>
      <c r="Q304" s="10">
        <f>P304-I304</f>
        <v>332</v>
      </c>
      <c r="R304" s="26">
        <f>(D304-P304)/D304</f>
        <v>0.9324137931034483</v>
      </c>
    </row>
    <row r="305" spans="1:18" ht="24.9" customHeight="1" x14ac:dyDescent="0.25">
      <c r="A305" s="8">
        <v>303</v>
      </c>
      <c r="B305" s="17" t="s">
        <v>275</v>
      </c>
      <c r="C305" s="21" t="s">
        <v>555</v>
      </c>
      <c r="D305" s="21">
        <v>6200</v>
      </c>
      <c r="E305" s="21" t="s">
        <v>261</v>
      </c>
      <c r="F305" s="16">
        <v>1185</v>
      </c>
      <c r="G305" s="16" t="s">
        <v>563</v>
      </c>
      <c r="H305" s="13">
        <v>3</v>
      </c>
      <c r="I305" s="13">
        <v>60</v>
      </c>
      <c r="J305" s="8">
        <v>5</v>
      </c>
      <c r="K305" s="14" t="s">
        <v>376</v>
      </c>
      <c r="L305" s="14">
        <v>0</v>
      </c>
      <c r="M305" s="8">
        <v>0</v>
      </c>
      <c r="N305" s="8"/>
      <c r="O305" s="24"/>
      <c r="P305" s="14">
        <f>D305-(F305+H305)*J305-M305-H305*L305</f>
        <v>260</v>
      </c>
      <c r="Q305" s="10">
        <f>P305-I305</f>
        <v>200</v>
      </c>
      <c r="R305" s="26">
        <f>(D305-P305)/D305</f>
        <v>0.95806451612903221</v>
      </c>
    </row>
    <row r="306" spans="1:18" ht="24.9" customHeight="1" x14ac:dyDescent="0.25">
      <c r="A306" s="8">
        <v>304</v>
      </c>
      <c r="B306" s="17" t="s">
        <v>276</v>
      </c>
      <c r="C306" s="21" t="s">
        <v>555</v>
      </c>
      <c r="D306" s="21">
        <v>5500</v>
      </c>
      <c r="E306" s="13" t="s">
        <v>261</v>
      </c>
      <c r="F306" s="16">
        <v>960</v>
      </c>
      <c r="G306" s="16" t="s">
        <v>563</v>
      </c>
      <c r="H306" s="16">
        <v>3</v>
      </c>
      <c r="I306" s="13">
        <v>60</v>
      </c>
      <c r="J306" s="8">
        <v>4</v>
      </c>
      <c r="K306" s="14" t="s">
        <v>568</v>
      </c>
      <c r="L306" s="10">
        <v>1</v>
      </c>
      <c r="M306" s="8">
        <v>1505</v>
      </c>
      <c r="N306" s="8" t="s">
        <v>563</v>
      </c>
      <c r="O306" s="24"/>
      <c r="P306" s="14">
        <f>D306-(F306+H306)*J306-M306-H306*L306</f>
        <v>140</v>
      </c>
      <c r="Q306" s="10">
        <f>P306-I306</f>
        <v>80</v>
      </c>
      <c r="R306" s="26">
        <f>(D306-P306)/D306</f>
        <v>0.97454545454545449</v>
      </c>
    </row>
    <row r="307" spans="1:18" ht="24.9" customHeight="1" x14ac:dyDescent="0.25">
      <c r="A307" s="8">
        <v>305</v>
      </c>
      <c r="B307" s="17" t="s">
        <v>277</v>
      </c>
      <c r="C307" s="21" t="s">
        <v>357</v>
      </c>
      <c r="D307" s="21">
        <v>6300</v>
      </c>
      <c r="E307" s="21" t="s">
        <v>261</v>
      </c>
      <c r="F307" s="16">
        <v>1040</v>
      </c>
      <c r="G307" s="16" t="s">
        <v>563</v>
      </c>
      <c r="H307" s="16">
        <v>2</v>
      </c>
      <c r="I307" s="13">
        <v>60</v>
      </c>
      <c r="J307" s="8">
        <v>5</v>
      </c>
      <c r="K307" s="14" t="s">
        <v>570</v>
      </c>
      <c r="L307" s="10">
        <v>1</v>
      </c>
      <c r="M307" s="8">
        <v>1010</v>
      </c>
      <c r="N307" s="8" t="s">
        <v>563</v>
      </c>
      <c r="O307" s="24"/>
      <c r="P307" s="14">
        <f>D307-(F307+H307)*J307-M307-H307*L307</f>
        <v>78</v>
      </c>
      <c r="Q307" s="10">
        <f>P307-I307</f>
        <v>18</v>
      </c>
      <c r="R307" s="26">
        <f>(D307-P307)/D307</f>
        <v>0.98761904761904762</v>
      </c>
    </row>
    <row r="308" spans="1:18" ht="24.9" customHeight="1" x14ac:dyDescent="0.25">
      <c r="A308" s="8">
        <v>306</v>
      </c>
      <c r="B308" s="17" t="s">
        <v>278</v>
      </c>
      <c r="C308" s="21" t="s">
        <v>357</v>
      </c>
      <c r="D308" s="21">
        <v>5800</v>
      </c>
      <c r="E308" s="13" t="s">
        <v>261</v>
      </c>
      <c r="F308" s="16">
        <v>1095</v>
      </c>
      <c r="G308" s="16" t="s">
        <v>563</v>
      </c>
      <c r="H308" s="16">
        <v>2</v>
      </c>
      <c r="I308" s="13">
        <v>60</v>
      </c>
      <c r="J308" s="8">
        <v>4</v>
      </c>
      <c r="K308" s="14" t="s">
        <v>569</v>
      </c>
      <c r="L308" s="10">
        <v>1</v>
      </c>
      <c r="M308" s="8">
        <v>1210</v>
      </c>
      <c r="N308" s="8" t="s">
        <v>563</v>
      </c>
      <c r="O308" s="24"/>
      <c r="P308" s="14">
        <f>D308-(F308+H308)*J308-M308-H308*L308</f>
        <v>200</v>
      </c>
      <c r="Q308" s="10">
        <f>P308-I308</f>
        <v>140</v>
      </c>
      <c r="R308" s="26">
        <f>(D308-P308)/D308</f>
        <v>0.96551724137931039</v>
      </c>
    </row>
    <row r="309" spans="1:18" ht="24.9" customHeight="1" x14ac:dyDescent="0.25">
      <c r="A309" s="8">
        <v>307</v>
      </c>
      <c r="B309" s="17" t="s">
        <v>281</v>
      </c>
      <c r="C309" s="21" t="s">
        <v>555</v>
      </c>
      <c r="D309" s="21">
        <v>5500</v>
      </c>
      <c r="E309" s="13" t="s">
        <v>261</v>
      </c>
      <c r="F309" s="16">
        <v>1250</v>
      </c>
      <c r="G309" s="16" t="s">
        <v>563</v>
      </c>
      <c r="H309" s="16">
        <v>3</v>
      </c>
      <c r="I309" s="13">
        <v>60</v>
      </c>
      <c r="J309" s="8">
        <v>3</v>
      </c>
      <c r="K309" s="14" t="s">
        <v>568</v>
      </c>
      <c r="L309" s="10">
        <v>1</v>
      </c>
      <c r="M309" s="8">
        <v>1505</v>
      </c>
      <c r="N309" s="8" t="s">
        <v>563</v>
      </c>
      <c r="O309" s="24"/>
      <c r="P309" s="14">
        <f>D309-(F309+H309)*J309-M309-H309*L309</f>
        <v>233</v>
      </c>
      <c r="Q309" s="10">
        <f>P309-I309</f>
        <v>173</v>
      </c>
      <c r="R309" s="26">
        <f>(D309-P309)/D309</f>
        <v>0.95763636363636362</v>
      </c>
    </row>
    <row r="310" spans="1:18" ht="24.9" customHeight="1" x14ac:dyDescent="0.25">
      <c r="A310" s="8">
        <v>308</v>
      </c>
      <c r="B310" s="17" t="s">
        <v>280</v>
      </c>
      <c r="C310" s="21" t="s">
        <v>357</v>
      </c>
      <c r="D310" s="21">
        <v>6300</v>
      </c>
      <c r="E310" s="13" t="s">
        <v>261</v>
      </c>
      <c r="F310" s="16">
        <v>720.5</v>
      </c>
      <c r="G310" s="16" t="s">
        <v>563</v>
      </c>
      <c r="H310" s="16">
        <v>2</v>
      </c>
      <c r="I310" s="13">
        <v>60</v>
      </c>
      <c r="J310" s="8">
        <v>7</v>
      </c>
      <c r="K310" s="14" t="s">
        <v>570</v>
      </c>
      <c r="L310" s="10">
        <v>1</v>
      </c>
      <c r="M310" s="8">
        <v>1010</v>
      </c>
      <c r="N310" s="8" t="s">
        <v>563</v>
      </c>
      <c r="O310" s="31" t="s">
        <v>288</v>
      </c>
      <c r="P310" s="14">
        <f>D310-(F310+H310)*J310-M310-H310*L310</f>
        <v>230.5</v>
      </c>
      <c r="Q310" s="10">
        <f>P310-I310</f>
        <v>170.5</v>
      </c>
      <c r="R310" s="26">
        <f>(D310-P310)/D310</f>
        <v>0.96341269841269839</v>
      </c>
    </row>
    <row r="311" spans="1:18" ht="24.9" customHeight="1" x14ac:dyDescent="0.25">
      <c r="A311" s="8">
        <v>309</v>
      </c>
      <c r="B311" s="17" t="s">
        <v>282</v>
      </c>
      <c r="C311" s="21" t="s">
        <v>359</v>
      </c>
      <c r="D311" s="21">
        <v>6500</v>
      </c>
      <c r="E311" s="13" t="s">
        <v>261</v>
      </c>
      <c r="F311" s="16">
        <v>1140</v>
      </c>
      <c r="G311" s="16" t="s">
        <v>563</v>
      </c>
      <c r="H311" s="13">
        <v>3</v>
      </c>
      <c r="I311" s="13">
        <v>60</v>
      </c>
      <c r="J311" s="8">
        <v>5</v>
      </c>
      <c r="K311" s="14" t="s">
        <v>251</v>
      </c>
      <c r="L311" s="14">
        <v>0</v>
      </c>
      <c r="M311" s="8">
        <v>0</v>
      </c>
      <c r="N311" s="8"/>
      <c r="O311" s="23"/>
      <c r="P311" s="14">
        <f>D311-(F311+H311)*J311-M311-H311*L311</f>
        <v>785</v>
      </c>
      <c r="Q311" s="10">
        <f>P311-I311</f>
        <v>725</v>
      </c>
      <c r="R311" s="26">
        <f>(D311-P311)/D311</f>
        <v>0.87923076923076926</v>
      </c>
    </row>
    <row r="312" spans="1:18" ht="24.9" customHeight="1" x14ac:dyDescent="0.25">
      <c r="A312" s="8">
        <v>310</v>
      </c>
      <c r="B312" s="17" t="s">
        <v>283</v>
      </c>
      <c r="C312" s="21" t="s">
        <v>555</v>
      </c>
      <c r="D312" s="21">
        <v>5660</v>
      </c>
      <c r="E312" s="13" t="s">
        <v>261</v>
      </c>
      <c r="F312" s="16">
        <v>1090</v>
      </c>
      <c r="G312" s="16" t="s">
        <v>563</v>
      </c>
      <c r="H312" s="13">
        <v>3</v>
      </c>
      <c r="I312" s="13">
        <v>60</v>
      </c>
      <c r="J312" s="8">
        <v>5</v>
      </c>
      <c r="K312" s="14" t="s">
        <v>376</v>
      </c>
      <c r="L312" s="14">
        <v>0</v>
      </c>
      <c r="M312" s="8">
        <v>0</v>
      </c>
      <c r="N312" s="8"/>
      <c r="O312" s="24"/>
      <c r="P312" s="14">
        <f>D312-(F312+H312)*J312-M312-H312*L312</f>
        <v>195</v>
      </c>
      <c r="Q312" s="10">
        <f>P312-I312</f>
        <v>135</v>
      </c>
      <c r="R312" s="26">
        <f>(D312-P312)/D312</f>
        <v>0.96554770318021199</v>
      </c>
    </row>
    <row r="313" spans="1:18" ht="24.9" customHeight="1" x14ac:dyDescent="0.25">
      <c r="A313" s="8">
        <v>311</v>
      </c>
      <c r="B313" s="17" t="s">
        <v>284</v>
      </c>
      <c r="C313" s="21" t="s">
        <v>555</v>
      </c>
      <c r="D313" s="21">
        <v>6200</v>
      </c>
      <c r="E313" s="13" t="s">
        <v>261</v>
      </c>
      <c r="F313" s="16">
        <v>865</v>
      </c>
      <c r="G313" s="16" t="s">
        <v>563</v>
      </c>
      <c r="H313" s="13">
        <v>3</v>
      </c>
      <c r="I313" s="13">
        <v>60</v>
      </c>
      <c r="J313" s="8">
        <v>7</v>
      </c>
      <c r="K313" s="14" t="s">
        <v>376</v>
      </c>
      <c r="L313" s="14">
        <v>0</v>
      </c>
      <c r="M313" s="8">
        <v>0</v>
      </c>
      <c r="N313" s="8"/>
      <c r="O313" s="24"/>
      <c r="P313" s="14">
        <f>D313-(F313+H313)*J313-M313-H313*L313</f>
        <v>124</v>
      </c>
      <c r="Q313" s="10">
        <f>P313-I313</f>
        <v>64</v>
      </c>
      <c r="R313" s="26">
        <f>(D313-P313)/D313</f>
        <v>0.98</v>
      </c>
    </row>
    <row r="314" spans="1:18" ht="24.9" customHeight="1" x14ac:dyDescent="0.25">
      <c r="A314" s="8">
        <v>312</v>
      </c>
      <c r="B314" s="17" t="s">
        <v>285</v>
      </c>
      <c r="C314" s="21" t="s">
        <v>357</v>
      </c>
      <c r="D314" s="21">
        <v>5800</v>
      </c>
      <c r="E314" s="13" t="s">
        <v>261</v>
      </c>
      <c r="F314" s="16">
        <v>1090</v>
      </c>
      <c r="G314" s="16" t="s">
        <v>563</v>
      </c>
      <c r="H314" s="16">
        <v>2</v>
      </c>
      <c r="I314" s="13">
        <v>60</v>
      </c>
      <c r="J314" s="8">
        <v>4</v>
      </c>
      <c r="K314" s="14" t="s">
        <v>570</v>
      </c>
      <c r="L314" s="10">
        <v>1</v>
      </c>
      <c r="M314" s="8">
        <v>1010</v>
      </c>
      <c r="N314" s="8" t="s">
        <v>563</v>
      </c>
      <c r="O314" s="24"/>
      <c r="P314" s="14">
        <f>D314-(F314+H314)*J314-M314-H314*L314</f>
        <v>420</v>
      </c>
      <c r="Q314" s="10">
        <f>P314-I314</f>
        <v>360</v>
      </c>
      <c r="R314" s="26">
        <f>(D314-P314)/D314</f>
        <v>0.92758620689655169</v>
      </c>
    </row>
    <row r="315" spans="1:18" ht="24.9" customHeight="1" x14ac:dyDescent="0.25">
      <c r="A315" s="8">
        <v>313</v>
      </c>
      <c r="B315" s="56" t="s">
        <v>289</v>
      </c>
      <c r="C315" s="21" t="s">
        <v>359</v>
      </c>
      <c r="D315" s="21">
        <v>6500</v>
      </c>
      <c r="E315" s="13" t="s">
        <v>261</v>
      </c>
      <c r="F315" s="16">
        <v>1270</v>
      </c>
      <c r="G315" s="16" t="s">
        <v>563</v>
      </c>
      <c r="H315" s="13">
        <v>3</v>
      </c>
      <c r="I315" s="13">
        <v>60</v>
      </c>
      <c r="J315" s="8">
        <v>5</v>
      </c>
      <c r="K315" s="14" t="s">
        <v>251</v>
      </c>
      <c r="L315" s="14">
        <v>0</v>
      </c>
      <c r="M315" s="8">
        <v>0</v>
      </c>
      <c r="N315" s="8"/>
      <c r="O315" s="24"/>
      <c r="P315" s="14">
        <f>D315-(F315+H315)*J315-M315-H315*L315</f>
        <v>135</v>
      </c>
      <c r="Q315" s="10">
        <f>P315-I315</f>
        <v>75</v>
      </c>
      <c r="R315" s="26">
        <f>(D315-P315)/D315</f>
        <v>0.97923076923076924</v>
      </c>
    </row>
    <row r="316" spans="1:18" ht="24.9" customHeight="1" x14ac:dyDescent="0.25">
      <c r="A316" s="8">
        <v>314</v>
      </c>
      <c r="B316" s="17" t="s">
        <v>290</v>
      </c>
      <c r="C316" s="21" t="s">
        <v>357</v>
      </c>
      <c r="D316" s="21">
        <v>5800</v>
      </c>
      <c r="E316" s="13" t="s">
        <v>261</v>
      </c>
      <c r="F316" s="16">
        <v>635.5</v>
      </c>
      <c r="G316" s="16" t="s">
        <v>563</v>
      </c>
      <c r="H316" s="13">
        <v>2</v>
      </c>
      <c r="I316" s="13">
        <v>60</v>
      </c>
      <c r="J316" s="8">
        <v>9</v>
      </c>
      <c r="K316" s="14" t="s">
        <v>286</v>
      </c>
      <c r="L316" s="14">
        <v>0</v>
      </c>
      <c r="M316" s="8">
        <v>0</v>
      </c>
      <c r="N316" s="8"/>
      <c r="O316" s="31" t="s">
        <v>288</v>
      </c>
      <c r="P316" s="14">
        <f>D316-(F316+H316)*J316-M316-H316*L316</f>
        <v>62.5</v>
      </c>
      <c r="Q316" s="10">
        <f>P316-I316</f>
        <v>2.5</v>
      </c>
      <c r="R316" s="26">
        <f>(D316-P316)/D316</f>
        <v>0.98922413793103448</v>
      </c>
    </row>
    <row r="317" spans="1:18" ht="24.9" customHeight="1" x14ac:dyDescent="0.25">
      <c r="A317" s="8">
        <v>315</v>
      </c>
      <c r="B317" s="17" t="s">
        <v>291</v>
      </c>
      <c r="C317" s="21" t="s">
        <v>357</v>
      </c>
      <c r="D317" s="21">
        <v>6100</v>
      </c>
      <c r="E317" s="13" t="s">
        <v>261</v>
      </c>
      <c r="F317" s="16">
        <v>500.5</v>
      </c>
      <c r="G317" s="16" t="s">
        <v>563</v>
      </c>
      <c r="H317" s="13">
        <v>2</v>
      </c>
      <c r="I317" s="13">
        <v>60</v>
      </c>
      <c r="J317" s="8">
        <v>12</v>
      </c>
      <c r="K317" s="14" t="s">
        <v>251</v>
      </c>
      <c r="L317" s="14">
        <v>0</v>
      </c>
      <c r="M317" s="8">
        <v>0</v>
      </c>
      <c r="N317" s="8"/>
      <c r="O317" s="31" t="s">
        <v>288</v>
      </c>
      <c r="P317" s="14">
        <f>D317-(F317+H317)*J317-M317-H317*L317</f>
        <v>70</v>
      </c>
      <c r="Q317" s="10">
        <f>P317-I317</f>
        <v>10</v>
      </c>
      <c r="R317" s="26">
        <f>(D317-P317)/D317</f>
        <v>0.98852459016393446</v>
      </c>
    </row>
    <row r="318" spans="1:18" ht="24.9" customHeight="1" x14ac:dyDescent="0.25">
      <c r="A318" s="8">
        <v>316</v>
      </c>
      <c r="B318" s="17" t="s">
        <v>292</v>
      </c>
      <c r="C318" s="13" t="s">
        <v>358</v>
      </c>
      <c r="D318" s="13">
        <v>6300</v>
      </c>
      <c r="E318" s="13" t="s">
        <v>261</v>
      </c>
      <c r="F318" s="8">
        <v>1035</v>
      </c>
      <c r="G318" s="8" t="s">
        <v>563</v>
      </c>
      <c r="H318" s="13">
        <v>3</v>
      </c>
      <c r="I318" s="13">
        <v>60</v>
      </c>
      <c r="J318" s="8">
        <v>6</v>
      </c>
      <c r="K318" s="14" t="s">
        <v>251</v>
      </c>
      <c r="L318" s="14">
        <v>0</v>
      </c>
      <c r="M318" s="8">
        <v>0</v>
      </c>
      <c r="N318" s="8"/>
      <c r="O318" s="24"/>
      <c r="P318" s="14">
        <f>D318-(F318+H318)*J318-M318-H318*L318</f>
        <v>72</v>
      </c>
      <c r="Q318" s="10">
        <f>P318-I318</f>
        <v>12</v>
      </c>
      <c r="R318" s="26">
        <f>(D318-P318)/D318</f>
        <v>0.98857142857142855</v>
      </c>
    </row>
    <row r="319" spans="1:18" ht="24.9" customHeight="1" x14ac:dyDescent="0.25">
      <c r="A319" s="8">
        <v>317</v>
      </c>
      <c r="B319" s="17" t="s">
        <v>293</v>
      </c>
      <c r="C319" s="21" t="s">
        <v>358</v>
      </c>
      <c r="D319" s="21">
        <v>6300</v>
      </c>
      <c r="E319" s="13" t="s">
        <v>261</v>
      </c>
      <c r="F319" s="16">
        <v>1010</v>
      </c>
      <c r="G319" s="16" t="s">
        <v>563</v>
      </c>
      <c r="H319" s="13">
        <v>3</v>
      </c>
      <c r="I319" s="13">
        <v>60</v>
      </c>
      <c r="J319" s="8">
        <v>6</v>
      </c>
      <c r="K319" s="14" t="s">
        <v>286</v>
      </c>
      <c r="L319" s="14">
        <v>0</v>
      </c>
      <c r="M319" s="8">
        <v>0</v>
      </c>
      <c r="N319" s="8"/>
      <c r="O319" s="24"/>
      <c r="P319" s="14">
        <f>D319-(F319+H319)*J319-M319-H319*L319</f>
        <v>222</v>
      </c>
      <c r="Q319" s="10">
        <f>P319-I319</f>
        <v>162</v>
      </c>
      <c r="R319" s="26">
        <f>(D319-P319)/D319</f>
        <v>0.96476190476190471</v>
      </c>
    </row>
    <row r="320" spans="1:18" ht="24.9" customHeight="1" x14ac:dyDescent="0.25">
      <c r="A320" s="8">
        <v>318</v>
      </c>
      <c r="B320" s="17" t="s">
        <v>294</v>
      </c>
      <c r="C320" s="21" t="s">
        <v>358</v>
      </c>
      <c r="D320" s="21">
        <v>6300</v>
      </c>
      <c r="E320" s="13" t="s">
        <v>261</v>
      </c>
      <c r="F320" s="16">
        <v>1230</v>
      </c>
      <c r="G320" s="16" t="s">
        <v>563</v>
      </c>
      <c r="H320" s="13">
        <v>3</v>
      </c>
      <c r="I320" s="13">
        <v>60</v>
      </c>
      <c r="J320" s="8">
        <v>5</v>
      </c>
      <c r="K320" s="14" t="s">
        <v>251</v>
      </c>
      <c r="L320" s="14">
        <v>0</v>
      </c>
      <c r="M320" s="8">
        <v>0</v>
      </c>
      <c r="N320" s="8"/>
      <c r="O320" s="24"/>
      <c r="P320" s="14">
        <f>D320-(F320+H320)*J320-M320-H320*L320</f>
        <v>135</v>
      </c>
      <c r="Q320" s="10">
        <f>P320-I320</f>
        <v>75</v>
      </c>
      <c r="R320" s="26">
        <f>(D320-P320)/D320</f>
        <v>0.97857142857142854</v>
      </c>
    </row>
    <row r="321" spans="1:18" ht="24.9" customHeight="1" x14ac:dyDescent="0.25">
      <c r="A321" s="8">
        <v>319</v>
      </c>
      <c r="B321" s="17" t="s">
        <v>295</v>
      </c>
      <c r="C321" s="21" t="s">
        <v>357</v>
      </c>
      <c r="D321" s="21">
        <v>6300</v>
      </c>
      <c r="E321" s="13" t="s">
        <v>261</v>
      </c>
      <c r="F321" s="16">
        <v>677</v>
      </c>
      <c r="G321" s="16" t="s">
        <v>563</v>
      </c>
      <c r="H321" s="13">
        <v>3</v>
      </c>
      <c r="I321" s="13">
        <v>60</v>
      </c>
      <c r="J321" s="8">
        <v>9</v>
      </c>
      <c r="K321" s="14" t="s">
        <v>296</v>
      </c>
      <c r="L321" s="14">
        <v>0</v>
      </c>
      <c r="M321" s="8">
        <v>0</v>
      </c>
      <c r="N321" s="8"/>
      <c r="O321" s="24"/>
      <c r="P321" s="14">
        <f>D321-(F321+H321)*J321-M321-H321*L321</f>
        <v>180</v>
      </c>
      <c r="Q321" s="10">
        <f>P321-I321</f>
        <v>120</v>
      </c>
      <c r="R321" s="26">
        <f>(D321-P321)/D321</f>
        <v>0.97142857142857142</v>
      </c>
    </row>
    <row r="322" spans="1:18" ht="24.9" customHeight="1" x14ac:dyDescent="0.25">
      <c r="A322" s="8">
        <v>320</v>
      </c>
      <c r="B322" s="17" t="s">
        <v>297</v>
      </c>
      <c r="C322" s="21" t="s">
        <v>357</v>
      </c>
      <c r="D322" s="21">
        <v>6300</v>
      </c>
      <c r="E322" s="13" t="s">
        <v>261</v>
      </c>
      <c r="F322" s="8">
        <v>647.5</v>
      </c>
      <c r="G322" s="8" t="s">
        <v>563</v>
      </c>
      <c r="H322" s="8">
        <v>2</v>
      </c>
      <c r="I322" s="13">
        <v>60</v>
      </c>
      <c r="J322" s="8">
        <v>8</v>
      </c>
      <c r="K322" s="14" t="s">
        <v>570</v>
      </c>
      <c r="L322" s="10">
        <v>1</v>
      </c>
      <c r="M322" s="8">
        <v>1010</v>
      </c>
      <c r="N322" s="8" t="s">
        <v>563</v>
      </c>
      <c r="O322" s="31" t="s">
        <v>288</v>
      </c>
      <c r="P322" s="14">
        <f>D322-(F322+H322)*J322-M322-H322*L322</f>
        <v>92</v>
      </c>
      <c r="Q322" s="10">
        <f>P322-I322</f>
        <v>32</v>
      </c>
      <c r="R322" s="26">
        <f>(D322-P322)/D322</f>
        <v>0.98539682539682538</v>
      </c>
    </row>
    <row r="323" spans="1:18" ht="24.9" customHeight="1" x14ac:dyDescent="0.25">
      <c r="A323" s="8">
        <v>321</v>
      </c>
      <c r="B323" s="17" t="s">
        <v>298</v>
      </c>
      <c r="C323" s="21" t="s">
        <v>357</v>
      </c>
      <c r="D323" s="21">
        <v>5800</v>
      </c>
      <c r="E323" s="13" t="s">
        <v>261</v>
      </c>
      <c r="F323" s="8">
        <v>512.5</v>
      </c>
      <c r="G323" s="8" t="s">
        <v>563</v>
      </c>
      <c r="H323" s="13">
        <v>3</v>
      </c>
      <c r="I323" s="13">
        <v>60</v>
      </c>
      <c r="J323" s="8">
        <v>11</v>
      </c>
      <c r="K323" s="14" t="s">
        <v>286</v>
      </c>
      <c r="L323" s="14">
        <v>0</v>
      </c>
      <c r="M323" s="8">
        <v>0</v>
      </c>
      <c r="N323" s="8"/>
      <c r="O323" s="31" t="s">
        <v>288</v>
      </c>
      <c r="P323" s="14">
        <f>D323-(F323+H323)*J323-M323-H323*L323</f>
        <v>129.5</v>
      </c>
      <c r="Q323" s="10">
        <f>P323-I323</f>
        <v>69.5</v>
      </c>
      <c r="R323" s="26">
        <f>(D323-P323)/D323</f>
        <v>0.97767241379310343</v>
      </c>
    </row>
    <row r="324" spans="1:18" ht="24.9" customHeight="1" x14ac:dyDescent="0.25">
      <c r="A324" s="8">
        <v>322</v>
      </c>
      <c r="B324" s="17" t="s">
        <v>299</v>
      </c>
      <c r="C324" s="21" t="s">
        <v>357</v>
      </c>
      <c r="D324" s="21">
        <v>6100</v>
      </c>
      <c r="E324" s="13" t="s">
        <v>261</v>
      </c>
      <c r="F324" s="16">
        <v>672.5</v>
      </c>
      <c r="G324" s="16" t="s">
        <v>563</v>
      </c>
      <c r="H324" s="16">
        <v>2</v>
      </c>
      <c r="I324" s="13">
        <v>60</v>
      </c>
      <c r="J324" s="8">
        <v>7</v>
      </c>
      <c r="K324" s="14" t="s">
        <v>569</v>
      </c>
      <c r="L324" s="10">
        <v>1</v>
      </c>
      <c r="M324" s="8">
        <v>1210</v>
      </c>
      <c r="N324" s="8" t="s">
        <v>563</v>
      </c>
      <c r="O324" s="31" t="s">
        <v>288</v>
      </c>
      <c r="P324" s="14">
        <f>D324-(F324+H324)*J324-M324-H324*L324</f>
        <v>166.5</v>
      </c>
      <c r="Q324" s="10">
        <f>P324-I324</f>
        <v>106.5</v>
      </c>
      <c r="R324" s="26">
        <f>(D324-P324)/D324</f>
        <v>0.97270491803278691</v>
      </c>
    </row>
    <row r="325" spans="1:18" ht="24.9" customHeight="1" x14ac:dyDescent="0.25">
      <c r="A325" s="8">
        <v>323</v>
      </c>
      <c r="B325" s="17" t="s">
        <v>300</v>
      </c>
      <c r="C325" s="21" t="s">
        <v>358</v>
      </c>
      <c r="D325" s="21">
        <v>6300</v>
      </c>
      <c r="E325" s="13" t="s">
        <v>261</v>
      </c>
      <c r="F325" s="16">
        <v>1020</v>
      </c>
      <c r="G325" s="16" t="s">
        <v>563</v>
      </c>
      <c r="H325" s="13">
        <v>3</v>
      </c>
      <c r="I325" s="13">
        <v>60</v>
      </c>
      <c r="J325" s="8">
        <v>6</v>
      </c>
      <c r="K325" s="14" t="s">
        <v>286</v>
      </c>
      <c r="L325" s="14">
        <v>0</v>
      </c>
      <c r="M325" s="8">
        <v>0</v>
      </c>
      <c r="N325" s="8"/>
      <c r="O325" s="24"/>
      <c r="P325" s="14">
        <f>D325-(F325+H325)*J325-M325-H325*L325</f>
        <v>162</v>
      </c>
      <c r="Q325" s="10">
        <f>P325-I325</f>
        <v>102</v>
      </c>
      <c r="R325" s="26">
        <f>(D325-P325)/D325</f>
        <v>0.97428571428571431</v>
      </c>
    </row>
    <row r="326" spans="1:18" ht="24.9" customHeight="1" x14ac:dyDescent="0.25">
      <c r="A326" s="8">
        <v>324</v>
      </c>
      <c r="B326" s="17" t="s">
        <v>301</v>
      </c>
      <c r="C326" s="21" t="s">
        <v>358</v>
      </c>
      <c r="D326" s="21">
        <v>6300</v>
      </c>
      <c r="E326" s="13" t="s">
        <v>261</v>
      </c>
      <c r="F326" s="16">
        <v>1275</v>
      </c>
      <c r="G326" s="16" t="s">
        <v>563</v>
      </c>
      <c r="H326" s="16">
        <v>2</v>
      </c>
      <c r="I326" s="13">
        <v>60</v>
      </c>
      <c r="J326" s="8">
        <v>4</v>
      </c>
      <c r="K326" s="14" t="s">
        <v>559</v>
      </c>
      <c r="L326" s="10">
        <v>1</v>
      </c>
      <c r="M326" s="8">
        <v>1080</v>
      </c>
      <c r="N326" s="8" t="s">
        <v>563</v>
      </c>
      <c r="O326" s="24"/>
      <c r="P326" s="14">
        <f>D326-(F326+H326)*J326-M326-H326*L326</f>
        <v>110</v>
      </c>
      <c r="Q326" s="10">
        <f>P326-I326</f>
        <v>50</v>
      </c>
      <c r="R326" s="26">
        <f>(D326-P326)/D326</f>
        <v>0.98253968253968249</v>
      </c>
    </row>
    <row r="327" spans="1:18" ht="24.9" customHeight="1" x14ac:dyDescent="0.25">
      <c r="A327" s="8">
        <v>325</v>
      </c>
      <c r="B327" s="17" t="s">
        <v>302</v>
      </c>
      <c r="C327" s="21" t="s">
        <v>358</v>
      </c>
      <c r="D327" s="21">
        <v>5700</v>
      </c>
      <c r="E327" s="13" t="s">
        <v>261</v>
      </c>
      <c r="F327" s="16">
        <v>1108</v>
      </c>
      <c r="G327" s="16" t="s">
        <v>563</v>
      </c>
      <c r="H327" s="13">
        <v>3</v>
      </c>
      <c r="I327" s="13">
        <v>60</v>
      </c>
      <c r="J327" s="8">
        <v>5</v>
      </c>
      <c r="K327" s="14" t="s">
        <v>286</v>
      </c>
      <c r="L327" s="14">
        <v>0</v>
      </c>
      <c r="M327" s="8">
        <v>0</v>
      </c>
      <c r="N327" s="8"/>
      <c r="O327" s="24"/>
      <c r="P327" s="14">
        <f>D327-(F327+H327)*J327-M327-H327*L327</f>
        <v>145</v>
      </c>
      <c r="Q327" s="10">
        <f>P327-I327</f>
        <v>85</v>
      </c>
      <c r="R327" s="26">
        <f>(D327-P327)/D327</f>
        <v>0.97456140350877196</v>
      </c>
    </row>
    <row r="328" spans="1:18" ht="24.9" customHeight="1" x14ac:dyDescent="0.25">
      <c r="A328" s="8">
        <v>326</v>
      </c>
      <c r="B328" s="17" t="s">
        <v>303</v>
      </c>
      <c r="C328" s="13" t="s">
        <v>359</v>
      </c>
      <c r="D328" s="13">
        <v>6500</v>
      </c>
      <c r="E328" s="13" t="s">
        <v>261</v>
      </c>
      <c r="F328" s="8">
        <v>1195</v>
      </c>
      <c r="G328" s="8" t="s">
        <v>563</v>
      </c>
      <c r="H328" s="13">
        <v>3</v>
      </c>
      <c r="I328" s="13">
        <v>60</v>
      </c>
      <c r="J328" s="8">
        <v>5</v>
      </c>
      <c r="K328" s="14" t="s">
        <v>251</v>
      </c>
      <c r="L328" s="14">
        <v>0</v>
      </c>
      <c r="M328" s="8">
        <v>0</v>
      </c>
      <c r="N328" s="8"/>
      <c r="O328" s="23"/>
      <c r="P328" s="14">
        <f>D328-(F328+H328)*J328-M328-H328*L328</f>
        <v>510</v>
      </c>
      <c r="Q328" s="10">
        <f>P328-I328</f>
        <v>450</v>
      </c>
      <c r="R328" s="26">
        <f>(D328-P328)/D328</f>
        <v>0.92153846153846153</v>
      </c>
    </row>
    <row r="329" spans="1:18" ht="24.9" customHeight="1" x14ac:dyDescent="0.25">
      <c r="A329" s="8">
        <v>327</v>
      </c>
      <c r="B329" s="17" t="s">
        <v>304</v>
      </c>
      <c r="C329" s="21" t="s">
        <v>359</v>
      </c>
      <c r="D329" s="21">
        <v>6500</v>
      </c>
      <c r="E329" s="13" t="s">
        <v>261</v>
      </c>
      <c r="F329" s="16">
        <v>1400</v>
      </c>
      <c r="G329" s="16" t="s">
        <v>563</v>
      </c>
      <c r="H329" s="13">
        <v>3</v>
      </c>
      <c r="I329" s="13">
        <v>60</v>
      </c>
      <c r="J329" s="8">
        <v>4</v>
      </c>
      <c r="K329" s="14" t="s">
        <v>251</v>
      </c>
      <c r="L329" s="14">
        <v>0</v>
      </c>
      <c r="M329" s="8">
        <v>0</v>
      </c>
      <c r="N329" s="8"/>
      <c r="O329" s="23"/>
      <c r="P329" s="14">
        <f>D329-(F329+H329)*J329-M329-H329*L329</f>
        <v>888</v>
      </c>
      <c r="Q329" s="10">
        <f>P329-I329</f>
        <v>828</v>
      </c>
      <c r="R329" s="26">
        <f>(D329-P329)/D329</f>
        <v>0.86338461538461542</v>
      </c>
    </row>
    <row r="330" spans="1:18" ht="24.9" customHeight="1" x14ac:dyDescent="0.25">
      <c r="A330" s="33">
        <v>328</v>
      </c>
      <c r="B330" s="42" t="s">
        <v>305</v>
      </c>
      <c r="C330" s="35" t="s">
        <v>555</v>
      </c>
      <c r="D330" s="35">
        <v>6200</v>
      </c>
      <c r="E330" s="36" t="s">
        <v>261</v>
      </c>
      <c r="F330" s="57">
        <v>1450</v>
      </c>
      <c r="G330" s="57" t="s">
        <v>563</v>
      </c>
      <c r="H330" s="13">
        <v>3</v>
      </c>
      <c r="I330" s="13">
        <v>60</v>
      </c>
      <c r="J330" s="33">
        <v>4</v>
      </c>
      <c r="K330" s="37" t="s">
        <v>376</v>
      </c>
      <c r="L330" s="14">
        <v>0</v>
      </c>
      <c r="M330" s="8">
        <v>0</v>
      </c>
      <c r="N330" s="33"/>
      <c r="O330" s="38" t="s">
        <v>317</v>
      </c>
      <c r="P330" s="14">
        <f>D330-(F330+H330)*J330-M330-H330*L330</f>
        <v>388</v>
      </c>
      <c r="Q330" s="10">
        <f>P330-I330</f>
        <v>328</v>
      </c>
      <c r="R330" s="26">
        <f>(D330-P330)/D330</f>
        <v>0.93741935483870964</v>
      </c>
    </row>
    <row r="331" spans="1:18" ht="24.9" customHeight="1" x14ac:dyDescent="0.25">
      <c r="A331" s="8">
        <v>329</v>
      </c>
      <c r="B331" s="17" t="s">
        <v>306</v>
      </c>
      <c r="C331" s="13" t="s">
        <v>359</v>
      </c>
      <c r="D331" s="13">
        <v>6500</v>
      </c>
      <c r="E331" s="13" t="s">
        <v>261</v>
      </c>
      <c r="F331" s="8">
        <v>1360</v>
      </c>
      <c r="G331" s="8" t="s">
        <v>563</v>
      </c>
      <c r="H331" s="8">
        <v>3</v>
      </c>
      <c r="I331" s="13">
        <v>60</v>
      </c>
      <c r="J331" s="8">
        <v>3</v>
      </c>
      <c r="K331" s="10" t="s">
        <v>560</v>
      </c>
      <c r="L331" s="10">
        <v>2</v>
      </c>
      <c r="M331" s="8">
        <v>1125</v>
      </c>
      <c r="N331" s="8" t="s">
        <v>563</v>
      </c>
      <c r="O331" s="23"/>
      <c r="P331" s="14">
        <f>D331-(F331+H331)*J331-M331-H331*L331</f>
        <v>1280</v>
      </c>
      <c r="Q331" s="10">
        <f>P331-I331</f>
        <v>1220</v>
      </c>
      <c r="R331" s="26">
        <f>(D331-P331)/D331</f>
        <v>0.80307692307692302</v>
      </c>
    </row>
    <row r="332" spans="1:18" ht="24.9" customHeight="1" x14ac:dyDescent="0.25">
      <c r="A332" s="8">
        <v>330</v>
      </c>
      <c r="B332" s="17" t="s">
        <v>308</v>
      </c>
      <c r="C332" s="21" t="s">
        <v>359</v>
      </c>
      <c r="D332" s="21">
        <v>6500</v>
      </c>
      <c r="E332" s="13" t="s">
        <v>261</v>
      </c>
      <c r="F332" s="16">
        <v>1160</v>
      </c>
      <c r="G332" s="16" t="s">
        <v>563</v>
      </c>
      <c r="H332" s="13">
        <v>3</v>
      </c>
      <c r="I332" s="13">
        <v>60</v>
      </c>
      <c r="J332" s="8">
        <v>5</v>
      </c>
      <c r="K332" s="14" t="s">
        <v>251</v>
      </c>
      <c r="L332" s="14">
        <v>0</v>
      </c>
      <c r="M332" s="8">
        <v>0</v>
      </c>
      <c r="N332" s="8"/>
      <c r="O332" s="23"/>
      <c r="P332" s="14">
        <f>D332-(F332+H332)*J332-M332-H332*L332</f>
        <v>685</v>
      </c>
      <c r="Q332" s="10">
        <f>P332-I332</f>
        <v>625</v>
      </c>
      <c r="R332" s="26">
        <f>(D332-P332)/D332</f>
        <v>0.89461538461538459</v>
      </c>
    </row>
    <row r="333" spans="1:18" ht="24.9" customHeight="1" x14ac:dyDescent="0.25">
      <c r="A333" s="8">
        <v>331</v>
      </c>
      <c r="B333" s="17" t="s">
        <v>307</v>
      </c>
      <c r="C333" s="21" t="s">
        <v>358</v>
      </c>
      <c r="D333" s="21">
        <v>5900</v>
      </c>
      <c r="E333" s="13" t="s">
        <v>261</v>
      </c>
      <c r="F333" s="16">
        <v>1135</v>
      </c>
      <c r="G333" s="16" t="s">
        <v>563</v>
      </c>
      <c r="H333" s="13">
        <v>3</v>
      </c>
      <c r="I333" s="13">
        <v>60</v>
      </c>
      <c r="J333" s="8">
        <v>5</v>
      </c>
      <c r="K333" s="14" t="s">
        <v>286</v>
      </c>
      <c r="L333" s="14">
        <v>0</v>
      </c>
      <c r="M333" s="8">
        <v>0</v>
      </c>
      <c r="N333" s="8"/>
      <c r="O333" s="24"/>
      <c r="P333" s="14">
        <f>D333-(F333+H333)*J333-M333-H333*L333</f>
        <v>210</v>
      </c>
      <c r="Q333" s="10">
        <f>P333-I333</f>
        <v>150</v>
      </c>
      <c r="R333" s="26">
        <f>(D333-P333)/D333</f>
        <v>0.96440677966101696</v>
      </c>
    </row>
    <row r="334" spans="1:18" ht="24.9" customHeight="1" x14ac:dyDescent="0.25">
      <c r="A334" s="8">
        <v>332</v>
      </c>
      <c r="B334" s="17" t="s">
        <v>309</v>
      </c>
      <c r="C334" s="21" t="s">
        <v>358</v>
      </c>
      <c r="D334" s="21">
        <v>5900</v>
      </c>
      <c r="E334" s="13" t="s">
        <v>261</v>
      </c>
      <c r="F334" s="13">
        <v>816.5</v>
      </c>
      <c r="G334" s="13" t="s">
        <v>563</v>
      </c>
      <c r="H334" s="13">
        <v>3</v>
      </c>
      <c r="I334" s="13">
        <v>60</v>
      </c>
      <c r="J334" s="8">
        <v>7</v>
      </c>
      <c r="K334" s="14" t="s">
        <v>310</v>
      </c>
      <c r="L334" s="14">
        <v>0</v>
      </c>
      <c r="M334" s="8">
        <v>0</v>
      </c>
      <c r="N334" s="8"/>
      <c r="O334" s="31" t="s">
        <v>288</v>
      </c>
      <c r="P334" s="14">
        <f>D334-(F334+H334)*J334-M334-H334*L334</f>
        <v>163.5</v>
      </c>
      <c r="Q334" s="10">
        <f>P334-I334</f>
        <v>103.5</v>
      </c>
      <c r="R334" s="26">
        <f>(D334-P334)/D334</f>
        <v>0.97228813559322036</v>
      </c>
    </row>
    <row r="335" spans="1:18" ht="24.9" customHeight="1" x14ac:dyDescent="0.25">
      <c r="A335" s="8">
        <v>333</v>
      </c>
      <c r="B335" s="17" t="s">
        <v>313</v>
      </c>
      <c r="C335" s="21" t="s">
        <v>357</v>
      </c>
      <c r="D335" s="21">
        <v>6100</v>
      </c>
      <c r="E335" s="13" t="s">
        <v>261</v>
      </c>
      <c r="F335" s="16">
        <v>500</v>
      </c>
      <c r="G335" s="16" t="s">
        <v>575</v>
      </c>
      <c r="H335" s="13">
        <v>3</v>
      </c>
      <c r="I335" s="13">
        <v>60</v>
      </c>
      <c r="J335" s="8">
        <v>12</v>
      </c>
      <c r="K335" s="14" t="s">
        <v>286</v>
      </c>
      <c r="L335" s="14">
        <v>0</v>
      </c>
      <c r="M335" s="8">
        <v>0</v>
      </c>
      <c r="N335" s="8"/>
      <c r="O335" s="31" t="s">
        <v>288</v>
      </c>
      <c r="P335" s="14">
        <f>D335-(F335+H335)*J335-M335-H335*L335</f>
        <v>64</v>
      </c>
      <c r="Q335" s="10">
        <f>P335-I335</f>
        <v>4</v>
      </c>
      <c r="R335" s="26">
        <f>(D335-P335)/D335</f>
        <v>0.98950819672131152</v>
      </c>
    </row>
    <row r="336" spans="1:18" ht="24.9" customHeight="1" x14ac:dyDescent="0.25">
      <c r="A336" s="8">
        <v>334</v>
      </c>
      <c r="B336" s="17" t="s">
        <v>314</v>
      </c>
      <c r="C336" s="13" t="s">
        <v>357</v>
      </c>
      <c r="D336" s="13">
        <v>6100</v>
      </c>
      <c r="E336" s="13" t="s">
        <v>261</v>
      </c>
      <c r="F336" s="8">
        <v>480</v>
      </c>
      <c r="G336" s="8" t="s">
        <v>575</v>
      </c>
      <c r="H336" s="8">
        <v>2</v>
      </c>
      <c r="I336" s="13">
        <v>60</v>
      </c>
      <c r="J336" s="8">
        <v>10</v>
      </c>
      <c r="K336" s="14" t="s">
        <v>578</v>
      </c>
      <c r="L336" s="10">
        <v>1</v>
      </c>
      <c r="M336" s="8">
        <v>1190</v>
      </c>
      <c r="N336" s="8" t="s">
        <v>563</v>
      </c>
      <c r="O336" s="31" t="s">
        <v>288</v>
      </c>
      <c r="P336" s="14">
        <f>D336-(F336+H336)*J336-M336-H336*L336</f>
        <v>88</v>
      </c>
      <c r="Q336" s="10">
        <f>P336-I336</f>
        <v>28</v>
      </c>
      <c r="R336" s="26">
        <f>(D336-P336)/D336</f>
        <v>0.98557377049180328</v>
      </c>
    </row>
    <row r="337" spans="1:19" ht="24.9" customHeight="1" x14ac:dyDescent="0.25">
      <c r="A337" s="47">
        <v>335</v>
      </c>
      <c r="B337" s="59" t="s">
        <v>352</v>
      </c>
      <c r="C337" s="48" t="s">
        <v>357</v>
      </c>
      <c r="D337" s="48">
        <v>5800</v>
      </c>
      <c r="E337" s="49" t="s">
        <v>261</v>
      </c>
      <c r="F337" s="50">
        <v>1124</v>
      </c>
      <c r="G337" s="50" t="s">
        <v>563</v>
      </c>
      <c r="H337" s="13">
        <v>3</v>
      </c>
      <c r="I337" s="13">
        <v>60</v>
      </c>
      <c r="J337" s="47">
        <v>5</v>
      </c>
      <c r="K337" s="51" t="s">
        <v>286</v>
      </c>
      <c r="L337" s="14">
        <v>0</v>
      </c>
      <c r="M337" s="8">
        <v>0</v>
      </c>
      <c r="N337" s="47"/>
      <c r="O337" s="53" t="s">
        <v>316</v>
      </c>
      <c r="P337" s="14">
        <f>D337-(F337+H337)*J337-M337-H337*L337</f>
        <v>165</v>
      </c>
      <c r="Q337" s="10">
        <f>P337-I337</f>
        <v>105</v>
      </c>
      <c r="R337" s="26">
        <f>(D337-P337)/D337</f>
        <v>0.97155172413793101</v>
      </c>
    </row>
    <row r="338" spans="1:19" ht="24.9" customHeight="1" x14ac:dyDescent="0.25">
      <c r="A338" s="8">
        <v>336</v>
      </c>
      <c r="B338" s="17" t="s">
        <v>311</v>
      </c>
      <c r="C338" s="21" t="s">
        <v>357</v>
      </c>
      <c r="D338" s="21">
        <v>6100</v>
      </c>
      <c r="E338" s="13" t="s">
        <v>261</v>
      </c>
      <c r="F338" s="8">
        <v>1330</v>
      </c>
      <c r="G338" s="8" t="s">
        <v>563</v>
      </c>
      <c r="H338" s="8">
        <v>2</v>
      </c>
      <c r="I338" s="13">
        <v>60</v>
      </c>
      <c r="J338" s="8">
        <v>3</v>
      </c>
      <c r="K338" s="27" t="s">
        <v>399</v>
      </c>
      <c r="L338" s="27">
        <v>2</v>
      </c>
      <c r="M338" s="8">
        <v>1010</v>
      </c>
      <c r="N338" s="8" t="s">
        <v>563</v>
      </c>
      <c r="O338" s="23"/>
      <c r="P338" s="14">
        <f>D338-(F338+H338)*J338-M338-H338*L338</f>
        <v>1090</v>
      </c>
      <c r="Q338" s="10">
        <f>P338-I338</f>
        <v>1030</v>
      </c>
      <c r="R338" s="26">
        <f>(D338-P338)/D338</f>
        <v>0.82131147540983607</v>
      </c>
    </row>
    <row r="339" spans="1:19" ht="24.9" customHeight="1" x14ac:dyDescent="0.25">
      <c r="A339" s="8">
        <v>337</v>
      </c>
      <c r="B339" s="17" t="s">
        <v>312</v>
      </c>
      <c r="C339" s="21" t="s">
        <v>357</v>
      </c>
      <c r="D339" s="21">
        <v>6300</v>
      </c>
      <c r="E339" s="13" t="s">
        <v>261</v>
      </c>
      <c r="F339" s="8">
        <v>1355</v>
      </c>
      <c r="G339" s="8" t="s">
        <v>563</v>
      </c>
      <c r="H339" s="8">
        <v>2</v>
      </c>
      <c r="I339" s="13">
        <v>60</v>
      </c>
      <c r="J339" s="8">
        <v>3</v>
      </c>
      <c r="K339" s="27" t="s">
        <v>399</v>
      </c>
      <c r="L339" s="27">
        <v>2</v>
      </c>
      <c r="M339" s="8">
        <v>1010</v>
      </c>
      <c r="N339" s="8" t="s">
        <v>563</v>
      </c>
      <c r="O339" s="23"/>
      <c r="P339" s="14">
        <f>D339-(F339+H339)*J339-M339-H339*L339</f>
        <v>1215</v>
      </c>
      <c r="Q339" s="10">
        <f>P339-I339</f>
        <v>1155</v>
      </c>
      <c r="R339" s="26">
        <f>(D339-P339)/D339</f>
        <v>0.80714285714285716</v>
      </c>
    </row>
    <row r="340" spans="1:19" ht="24.9" customHeight="1" x14ac:dyDescent="0.25">
      <c r="A340" s="33">
        <v>338</v>
      </c>
      <c r="B340" s="42" t="s">
        <v>318</v>
      </c>
      <c r="C340" s="35" t="s">
        <v>357</v>
      </c>
      <c r="D340" s="35">
        <v>6100</v>
      </c>
      <c r="E340" s="36" t="s">
        <v>261</v>
      </c>
      <c r="F340" s="33">
        <v>1340</v>
      </c>
      <c r="G340" s="33" t="s">
        <v>563</v>
      </c>
      <c r="H340" s="33">
        <v>2</v>
      </c>
      <c r="I340" s="13">
        <v>60</v>
      </c>
      <c r="J340" s="33">
        <v>4</v>
      </c>
      <c r="K340" s="39" t="s">
        <v>377</v>
      </c>
      <c r="L340" s="39">
        <v>1</v>
      </c>
      <c r="M340" s="33">
        <v>560</v>
      </c>
      <c r="N340" s="33" t="s">
        <v>563</v>
      </c>
      <c r="O340" s="38" t="s">
        <v>317</v>
      </c>
      <c r="P340" s="14">
        <f>D340-(F340+H340)*J340-M340-H340*L340</f>
        <v>170</v>
      </c>
      <c r="Q340" s="10">
        <f>P340-I340</f>
        <v>110</v>
      </c>
      <c r="R340" s="26">
        <f>(D340-P340)/D340</f>
        <v>0.97213114754098362</v>
      </c>
      <c r="S340" s="7" t="s">
        <v>436</v>
      </c>
    </row>
    <row r="341" spans="1:19" ht="24.9" customHeight="1" x14ac:dyDescent="0.25">
      <c r="A341" s="33">
        <v>339</v>
      </c>
      <c r="B341" s="42" t="s">
        <v>319</v>
      </c>
      <c r="C341" s="35" t="s">
        <v>357</v>
      </c>
      <c r="D341" s="35">
        <v>6100</v>
      </c>
      <c r="E341" s="36" t="s">
        <v>261</v>
      </c>
      <c r="F341" s="33">
        <v>1360</v>
      </c>
      <c r="G341" s="33" t="s">
        <v>563</v>
      </c>
      <c r="H341" s="33">
        <v>2</v>
      </c>
      <c r="I341" s="13">
        <v>60</v>
      </c>
      <c r="J341" s="33">
        <v>4</v>
      </c>
      <c r="K341" s="39" t="s">
        <v>377</v>
      </c>
      <c r="L341" s="39">
        <v>1</v>
      </c>
      <c r="M341" s="33">
        <v>560</v>
      </c>
      <c r="N341" s="33" t="s">
        <v>563</v>
      </c>
      <c r="O341" s="38" t="s">
        <v>317</v>
      </c>
      <c r="P341" s="14">
        <f>D341-(F341+H341)*J341-M341-H341*L341</f>
        <v>90</v>
      </c>
      <c r="Q341" s="10">
        <f>P341-I341</f>
        <v>30</v>
      </c>
      <c r="R341" s="26">
        <f>(D341-P341)/D341</f>
        <v>0.98524590163934422</v>
      </c>
      <c r="S341" s="7" t="s">
        <v>436</v>
      </c>
    </row>
    <row r="342" spans="1:19" ht="24.9" customHeight="1" x14ac:dyDescent="0.25">
      <c r="A342" s="33">
        <v>340</v>
      </c>
      <c r="B342" s="42" t="s">
        <v>527</v>
      </c>
      <c r="C342" s="35" t="s">
        <v>555</v>
      </c>
      <c r="D342" s="35">
        <v>5660</v>
      </c>
      <c r="E342" s="36" t="s">
        <v>261</v>
      </c>
      <c r="F342" s="33">
        <v>1454</v>
      </c>
      <c r="G342" s="33" t="s">
        <v>563</v>
      </c>
      <c r="H342" s="33">
        <v>2</v>
      </c>
      <c r="I342" s="13">
        <v>60</v>
      </c>
      <c r="J342" s="33">
        <v>3</v>
      </c>
      <c r="K342" s="37" t="s">
        <v>579</v>
      </c>
      <c r="L342" s="37">
        <v>1</v>
      </c>
      <c r="M342" s="33">
        <v>1215</v>
      </c>
      <c r="N342" s="33" t="s">
        <v>563</v>
      </c>
      <c r="O342" s="38" t="s">
        <v>321</v>
      </c>
      <c r="P342" s="14">
        <f>D342-(F342+H342)*J342-M342-H342*L342</f>
        <v>75</v>
      </c>
      <c r="Q342" s="10">
        <f>P342-I342</f>
        <v>15</v>
      </c>
      <c r="R342" s="26">
        <f>(D342-P342)/D342</f>
        <v>0.98674911660777387</v>
      </c>
    </row>
    <row r="343" spans="1:19" ht="24.9" customHeight="1" x14ac:dyDescent="0.25">
      <c r="A343" s="33">
        <v>341</v>
      </c>
      <c r="B343" s="42" t="s">
        <v>526</v>
      </c>
      <c r="C343" s="35" t="s">
        <v>555</v>
      </c>
      <c r="D343" s="35">
        <v>6200</v>
      </c>
      <c r="E343" s="36" t="s">
        <v>261</v>
      </c>
      <c r="F343" s="33">
        <v>1215</v>
      </c>
      <c r="G343" s="33" t="s">
        <v>563</v>
      </c>
      <c r="H343" s="13">
        <v>3</v>
      </c>
      <c r="I343" s="13">
        <v>60</v>
      </c>
      <c r="J343" s="33">
        <v>5</v>
      </c>
      <c r="K343" s="37" t="s">
        <v>286</v>
      </c>
      <c r="L343" s="14">
        <v>0</v>
      </c>
      <c r="M343" s="8">
        <v>0</v>
      </c>
      <c r="N343" s="33"/>
      <c r="O343" s="38" t="s">
        <v>321</v>
      </c>
      <c r="P343" s="14">
        <f>D343-(F343+H343)*J343-M343-H343*L343</f>
        <v>110</v>
      </c>
      <c r="Q343" s="10">
        <f>P343-I343</f>
        <v>50</v>
      </c>
      <c r="R343" s="26">
        <f>(D343-P343)/D343</f>
        <v>0.98225806451612907</v>
      </c>
    </row>
    <row r="344" spans="1:19" ht="24.9" customHeight="1" x14ac:dyDescent="0.25">
      <c r="A344" s="8">
        <v>342</v>
      </c>
      <c r="B344" s="17" t="s">
        <v>322</v>
      </c>
      <c r="C344" s="21" t="s">
        <v>357</v>
      </c>
      <c r="D344" s="21">
        <v>5800</v>
      </c>
      <c r="E344" s="13" t="s">
        <v>261</v>
      </c>
      <c r="F344" s="8">
        <v>1101</v>
      </c>
      <c r="G344" s="8" t="s">
        <v>563</v>
      </c>
      <c r="H344" s="8">
        <v>2</v>
      </c>
      <c r="I344" s="13">
        <v>60</v>
      </c>
      <c r="J344" s="8">
        <v>4</v>
      </c>
      <c r="K344" s="14" t="s">
        <v>569</v>
      </c>
      <c r="L344" s="14">
        <v>1</v>
      </c>
      <c r="M344" s="8">
        <v>1210</v>
      </c>
      <c r="N344" s="8" t="s">
        <v>563</v>
      </c>
      <c r="O344" s="23"/>
      <c r="P344" s="14">
        <f>D344-(F344+H344)*J344-M344-H344*L344</f>
        <v>176</v>
      </c>
      <c r="Q344" s="10">
        <f>P344-I344</f>
        <v>116</v>
      </c>
      <c r="R344" s="26">
        <f>(D344-P344)/D344</f>
        <v>0.96965517241379307</v>
      </c>
    </row>
    <row r="345" spans="1:19" ht="24.9" customHeight="1" x14ac:dyDescent="0.25">
      <c r="A345" s="8">
        <v>343</v>
      </c>
      <c r="B345" s="17" t="s">
        <v>323</v>
      </c>
      <c r="C345" s="21" t="s">
        <v>357</v>
      </c>
      <c r="D345" s="21">
        <v>5800</v>
      </c>
      <c r="E345" s="13" t="s">
        <v>261</v>
      </c>
      <c r="F345" s="8">
        <v>911</v>
      </c>
      <c r="G345" s="8" t="s">
        <v>563</v>
      </c>
      <c r="H345" s="8">
        <v>2</v>
      </c>
      <c r="I345" s="13">
        <v>60</v>
      </c>
      <c r="J345" s="8">
        <v>4</v>
      </c>
      <c r="K345" s="27" t="s">
        <v>399</v>
      </c>
      <c r="L345" s="27">
        <v>2</v>
      </c>
      <c r="M345" s="8">
        <v>1010</v>
      </c>
      <c r="N345" s="8" t="s">
        <v>563</v>
      </c>
      <c r="O345" s="23"/>
      <c r="P345" s="14">
        <f>D345-(F345+H345)*J345-M345-H345*L345</f>
        <v>1134</v>
      </c>
      <c r="Q345" s="10">
        <f>P345-I345</f>
        <v>1074</v>
      </c>
      <c r="R345" s="26">
        <f>(D345-P345)/D345</f>
        <v>0.80448275862068963</v>
      </c>
    </row>
    <row r="346" spans="1:19" ht="24.9" customHeight="1" x14ac:dyDescent="0.25">
      <c r="A346" s="33">
        <v>344</v>
      </c>
      <c r="B346" s="42" t="s">
        <v>324</v>
      </c>
      <c r="C346" s="35" t="s">
        <v>357</v>
      </c>
      <c r="D346" s="35">
        <v>6100</v>
      </c>
      <c r="E346" s="36" t="s">
        <v>261</v>
      </c>
      <c r="F346" s="33">
        <v>1370</v>
      </c>
      <c r="G346" s="33" t="s">
        <v>563</v>
      </c>
      <c r="H346" s="33">
        <v>2</v>
      </c>
      <c r="I346" s="13">
        <v>60</v>
      </c>
      <c r="J346" s="33">
        <v>4</v>
      </c>
      <c r="K346" s="39" t="s">
        <v>377</v>
      </c>
      <c r="L346" s="39">
        <v>1</v>
      </c>
      <c r="M346" s="33">
        <v>560</v>
      </c>
      <c r="N346" s="33" t="s">
        <v>563</v>
      </c>
      <c r="O346" s="38" t="s">
        <v>317</v>
      </c>
      <c r="P346" s="14">
        <f>D346-(F346+H346)*J346-M346-H346*L346</f>
        <v>50</v>
      </c>
      <c r="Q346" s="10">
        <f>P346-I346</f>
        <v>-10</v>
      </c>
      <c r="R346" s="26">
        <f>(D346-P346)/D346</f>
        <v>0.99180327868852458</v>
      </c>
      <c r="S346" s="7" t="s">
        <v>535</v>
      </c>
    </row>
    <row r="347" spans="1:19" ht="24.9" customHeight="1" x14ac:dyDescent="0.25">
      <c r="A347" s="8">
        <v>345</v>
      </c>
      <c r="B347" s="17" t="s">
        <v>325</v>
      </c>
      <c r="C347" s="21" t="s">
        <v>358</v>
      </c>
      <c r="D347" s="21">
        <v>5700</v>
      </c>
      <c r="E347" s="13" t="s">
        <v>261</v>
      </c>
      <c r="F347" s="8">
        <v>1098</v>
      </c>
      <c r="G347" s="8" t="s">
        <v>563</v>
      </c>
      <c r="H347" s="13">
        <v>3</v>
      </c>
      <c r="I347" s="13">
        <v>60</v>
      </c>
      <c r="J347" s="8">
        <v>5</v>
      </c>
      <c r="K347" s="14" t="s">
        <v>286</v>
      </c>
      <c r="L347" s="14">
        <v>0</v>
      </c>
      <c r="M347" s="8">
        <v>0</v>
      </c>
      <c r="N347" s="8"/>
      <c r="O347" s="23"/>
      <c r="P347" s="14">
        <f>D347-(F347+H347)*J347-M347-H347*L347</f>
        <v>195</v>
      </c>
      <c r="Q347" s="10">
        <f>P347-I347</f>
        <v>135</v>
      </c>
      <c r="R347" s="26">
        <f>(D347-P347)/D347</f>
        <v>0.96578947368421053</v>
      </c>
    </row>
    <row r="348" spans="1:19" ht="24.9" customHeight="1" x14ac:dyDescent="0.25">
      <c r="A348" s="8">
        <v>346</v>
      </c>
      <c r="B348" s="17" t="s">
        <v>326</v>
      </c>
      <c r="C348" s="21" t="s">
        <v>357</v>
      </c>
      <c r="D348" s="21">
        <v>6300</v>
      </c>
      <c r="E348" s="13" t="s">
        <v>261</v>
      </c>
      <c r="F348" s="8">
        <v>1280</v>
      </c>
      <c r="G348" s="8" t="s">
        <v>563</v>
      </c>
      <c r="H348" s="8">
        <v>2</v>
      </c>
      <c r="I348" s="13">
        <v>60</v>
      </c>
      <c r="J348" s="8">
        <v>4</v>
      </c>
      <c r="K348" s="14" t="s">
        <v>570</v>
      </c>
      <c r="L348" s="14">
        <v>1</v>
      </c>
      <c r="M348" s="8">
        <v>1010</v>
      </c>
      <c r="N348" s="8" t="s">
        <v>563</v>
      </c>
      <c r="O348" s="23"/>
      <c r="P348" s="14">
        <f>D348-(F348+H348)*J348-M348-H348*L348</f>
        <v>160</v>
      </c>
      <c r="Q348" s="10">
        <f>P348-I348</f>
        <v>100</v>
      </c>
      <c r="R348" s="26">
        <f>(D348-P348)/D348</f>
        <v>0.97460317460317458</v>
      </c>
    </row>
    <row r="349" spans="1:19" ht="24.9" customHeight="1" x14ac:dyDescent="0.25">
      <c r="A349" s="8">
        <v>347</v>
      </c>
      <c r="B349" s="17" t="s">
        <v>327</v>
      </c>
      <c r="C349" s="21" t="s">
        <v>357</v>
      </c>
      <c r="D349" s="21">
        <v>6300</v>
      </c>
      <c r="E349" s="13" t="s">
        <v>261</v>
      </c>
      <c r="F349" s="8">
        <v>1300</v>
      </c>
      <c r="G349" s="8" t="s">
        <v>563</v>
      </c>
      <c r="H349" s="8">
        <v>2</v>
      </c>
      <c r="I349" s="13">
        <v>60</v>
      </c>
      <c r="J349" s="8">
        <v>4</v>
      </c>
      <c r="K349" s="14" t="s">
        <v>570</v>
      </c>
      <c r="L349" s="14">
        <v>1</v>
      </c>
      <c r="M349" s="8">
        <v>1010</v>
      </c>
      <c r="N349" s="8" t="s">
        <v>563</v>
      </c>
      <c r="O349" s="23"/>
      <c r="P349" s="14">
        <f>D349-(F349+H349)*J349-M349-H349*L349</f>
        <v>80</v>
      </c>
      <c r="Q349" s="10">
        <f>P349-I349</f>
        <v>20</v>
      </c>
      <c r="R349" s="26">
        <f>(D349-P349)/D349</f>
        <v>0.98730158730158735</v>
      </c>
    </row>
    <row r="350" spans="1:19" ht="24.9" customHeight="1" x14ac:dyDescent="0.25">
      <c r="A350" s="47">
        <v>348</v>
      </c>
      <c r="B350" s="58" t="s">
        <v>393</v>
      </c>
      <c r="C350" s="48" t="s">
        <v>357</v>
      </c>
      <c r="D350" s="48">
        <v>5800</v>
      </c>
      <c r="E350" s="48" t="s">
        <v>250</v>
      </c>
      <c r="F350" s="47">
        <v>1109</v>
      </c>
      <c r="G350" s="47" t="s">
        <v>563</v>
      </c>
      <c r="H350" s="13">
        <v>3</v>
      </c>
      <c r="I350" s="13">
        <v>60</v>
      </c>
      <c r="J350" s="47">
        <v>5</v>
      </c>
      <c r="K350" s="51" t="s">
        <v>479</v>
      </c>
      <c r="L350" s="14">
        <v>0</v>
      </c>
      <c r="M350" s="8">
        <v>0</v>
      </c>
      <c r="N350" s="47"/>
      <c r="O350" s="53" t="s">
        <v>315</v>
      </c>
      <c r="P350" s="14">
        <f>D350-(F350+H350)*J350-M350-H350*L350</f>
        <v>240</v>
      </c>
      <c r="Q350" s="10">
        <f>P350-I350</f>
        <v>180</v>
      </c>
      <c r="R350" s="26">
        <f>(D350-P350)/D350</f>
        <v>0.95862068965517244</v>
      </c>
      <c r="S350" s="7" t="s">
        <v>478</v>
      </c>
    </row>
    <row r="351" spans="1:19" ht="24.9" customHeight="1" x14ac:dyDescent="0.25">
      <c r="A351" s="47">
        <v>349</v>
      </c>
      <c r="B351" s="58" t="s">
        <v>394</v>
      </c>
      <c r="C351" s="49" t="s">
        <v>357</v>
      </c>
      <c r="D351" s="49">
        <v>5800</v>
      </c>
      <c r="E351" s="49" t="s">
        <v>250</v>
      </c>
      <c r="F351" s="49">
        <v>1154</v>
      </c>
      <c r="G351" s="49" t="s">
        <v>563</v>
      </c>
      <c r="H351" s="49">
        <v>2</v>
      </c>
      <c r="I351" s="13">
        <v>60</v>
      </c>
      <c r="J351" s="47">
        <v>4</v>
      </c>
      <c r="K351" s="51" t="s">
        <v>570</v>
      </c>
      <c r="L351" s="51">
        <v>1</v>
      </c>
      <c r="M351" s="47">
        <v>1010</v>
      </c>
      <c r="N351" s="47" t="s">
        <v>563</v>
      </c>
      <c r="O351" s="53" t="s">
        <v>315</v>
      </c>
      <c r="P351" s="14">
        <f>D351-(F351+H351)*J351-M351-H351*L351</f>
        <v>164</v>
      </c>
      <c r="Q351" s="10">
        <f>P351-I351</f>
        <v>104</v>
      </c>
      <c r="R351" s="26">
        <f>(D351-P351)/D351</f>
        <v>0.97172413793103452</v>
      </c>
    </row>
    <row r="352" spans="1:19" ht="24.9" customHeight="1" x14ac:dyDescent="0.25">
      <c r="A352" s="47">
        <v>350</v>
      </c>
      <c r="B352" s="59" t="s">
        <v>34</v>
      </c>
      <c r="C352" s="48" t="s">
        <v>357</v>
      </c>
      <c r="D352" s="48">
        <v>6100</v>
      </c>
      <c r="E352" s="48" t="s">
        <v>250</v>
      </c>
      <c r="F352" s="47">
        <v>1079</v>
      </c>
      <c r="G352" s="47" t="s">
        <v>563</v>
      </c>
      <c r="H352" s="47">
        <v>2</v>
      </c>
      <c r="I352" s="13">
        <v>60</v>
      </c>
      <c r="J352" s="47">
        <v>5</v>
      </c>
      <c r="K352" s="52" t="s">
        <v>377</v>
      </c>
      <c r="L352" s="52">
        <v>1</v>
      </c>
      <c r="M352" s="47">
        <v>560</v>
      </c>
      <c r="N352" s="47" t="s">
        <v>563</v>
      </c>
      <c r="O352" s="53" t="s">
        <v>315</v>
      </c>
      <c r="P352" s="14">
        <f>D352-(F352+H352)*J352-M352-H352*L352</f>
        <v>133</v>
      </c>
      <c r="Q352" s="10">
        <f>P352-I352</f>
        <v>73</v>
      </c>
      <c r="R352" s="26">
        <f>(D352-P352)/D352</f>
        <v>0.97819672131147539</v>
      </c>
    </row>
    <row r="353" spans="1:19" ht="24.9" customHeight="1" x14ac:dyDescent="0.25">
      <c r="A353" s="33">
        <v>351</v>
      </c>
      <c r="B353" s="42" t="s">
        <v>328</v>
      </c>
      <c r="C353" s="35" t="s">
        <v>358</v>
      </c>
      <c r="D353" s="35">
        <v>5700</v>
      </c>
      <c r="E353" s="36" t="s">
        <v>261</v>
      </c>
      <c r="F353" s="33">
        <v>1360</v>
      </c>
      <c r="G353" s="33" t="s">
        <v>563</v>
      </c>
      <c r="H353" s="13">
        <v>3</v>
      </c>
      <c r="I353" s="13">
        <v>60</v>
      </c>
      <c r="J353" s="33">
        <v>4</v>
      </c>
      <c r="K353" s="37" t="s">
        <v>286</v>
      </c>
      <c r="L353" s="14">
        <v>0</v>
      </c>
      <c r="M353" s="8">
        <v>0</v>
      </c>
      <c r="N353" s="33"/>
      <c r="O353" s="38" t="s">
        <v>317</v>
      </c>
      <c r="P353" s="14">
        <f>D353-(F353+H353)*J353-M353-H353*L353</f>
        <v>248</v>
      </c>
      <c r="Q353" s="10">
        <f>P353-I353</f>
        <v>188</v>
      </c>
      <c r="R353" s="26">
        <f>(D353-P353)/D353</f>
        <v>0.95649122807017539</v>
      </c>
    </row>
    <row r="354" spans="1:19" ht="24.9" customHeight="1" x14ac:dyDescent="0.25">
      <c r="A354" s="33">
        <v>352</v>
      </c>
      <c r="B354" s="42" t="s">
        <v>329</v>
      </c>
      <c r="C354" s="35" t="s">
        <v>358</v>
      </c>
      <c r="D354" s="35">
        <v>5700</v>
      </c>
      <c r="E354" s="36" t="s">
        <v>261</v>
      </c>
      <c r="F354" s="33">
        <v>1396</v>
      </c>
      <c r="G354" s="33" t="s">
        <v>563</v>
      </c>
      <c r="H354" s="13">
        <v>3</v>
      </c>
      <c r="I354" s="13">
        <v>60</v>
      </c>
      <c r="J354" s="33">
        <v>4</v>
      </c>
      <c r="K354" s="37" t="s">
        <v>286</v>
      </c>
      <c r="L354" s="14">
        <v>0</v>
      </c>
      <c r="M354" s="8">
        <v>0</v>
      </c>
      <c r="N354" s="33"/>
      <c r="O354" s="38" t="s">
        <v>317</v>
      </c>
      <c r="P354" s="14">
        <f>D354-(F354+H354)*J354-M354-H354*L354</f>
        <v>104</v>
      </c>
      <c r="Q354" s="10">
        <f>P354-I354</f>
        <v>44</v>
      </c>
      <c r="R354" s="26">
        <f>(D354-P354)/D354</f>
        <v>0.98175438596491227</v>
      </c>
    </row>
    <row r="355" spans="1:19" ht="24.9" customHeight="1" x14ac:dyDescent="0.25">
      <c r="A355" s="33">
        <v>353</v>
      </c>
      <c r="B355" s="45" t="s">
        <v>330</v>
      </c>
      <c r="C355" s="35" t="s">
        <v>555</v>
      </c>
      <c r="D355" s="35">
        <v>6200</v>
      </c>
      <c r="E355" s="35" t="s">
        <v>250</v>
      </c>
      <c r="F355" s="36">
        <v>1505</v>
      </c>
      <c r="G355" s="36" t="s">
        <v>563</v>
      </c>
      <c r="H355" s="13">
        <v>3</v>
      </c>
      <c r="I355" s="13">
        <v>60</v>
      </c>
      <c r="J355" s="33">
        <v>4</v>
      </c>
      <c r="K355" s="37" t="s">
        <v>251</v>
      </c>
      <c r="L355" s="14">
        <v>0</v>
      </c>
      <c r="M355" s="8">
        <v>0</v>
      </c>
      <c r="N355" s="33"/>
      <c r="O355" s="38" t="s">
        <v>131</v>
      </c>
      <c r="P355" s="14">
        <f>D355-(F355+H355)*J355-M355-H355*L355</f>
        <v>168</v>
      </c>
      <c r="Q355" s="10">
        <f>P355-I355</f>
        <v>108</v>
      </c>
      <c r="R355" s="26">
        <f>(D355-P355)/D355</f>
        <v>0.97290322580645161</v>
      </c>
    </row>
    <row r="356" spans="1:19" ht="24.9" customHeight="1" x14ac:dyDescent="0.25">
      <c r="A356" s="8">
        <v>354</v>
      </c>
      <c r="B356" s="6" t="s">
        <v>100</v>
      </c>
      <c r="C356" s="21" t="s">
        <v>357</v>
      </c>
      <c r="D356" s="21">
        <v>6300</v>
      </c>
      <c r="E356" s="21" t="s">
        <v>250</v>
      </c>
      <c r="F356" s="13">
        <v>677.5</v>
      </c>
      <c r="G356" s="13" t="s">
        <v>563</v>
      </c>
      <c r="H356" s="13">
        <v>3</v>
      </c>
      <c r="I356" s="13">
        <v>60</v>
      </c>
      <c r="J356" s="8">
        <v>9</v>
      </c>
      <c r="K356" s="14" t="s">
        <v>376</v>
      </c>
      <c r="L356" s="14">
        <v>0</v>
      </c>
      <c r="M356" s="8">
        <v>0</v>
      </c>
      <c r="N356" s="8"/>
      <c r="O356" s="23" t="s">
        <v>288</v>
      </c>
      <c r="P356" s="14">
        <f>D356-(F356+H356)*J356-M356-H356*L356</f>
        <v>175.5</v>
      </c>
      <c r="Q356" s="10">
        <f>P356-I356</f>
        <v>115.5</v>
      </c>
      <c r="R356" s="26">
        <f>(D356-P356)/D356</f>
        <v>0.9721428571428572</v>
      </c>
    </row>
    <row r="357" spans="1:19" ht="24.9" customHeight="1" x14ac:dyDescent="0.25">
      <c r="A357" s="8">
        <v>355</v>
      </c>
      <c r="B357" s="6" t="s">
        <v>331</v>
      </c>
      <c r="C357" s="21" t="s">
        <v>358</v>
      </c>
      <c r="D357" s="21">
        <v>6400</v>
      </c>
      <c r="E357" s="13" t="s">
        <v>261</v>
      </c>
      <c r="F357" s="8">
        <v>1061</v>
      </c>
      <c r="G357" s="8" t="s">
        <v>563</v>
      </c>
      <c r="H357" s="8">
        <v>2</v>
      </c>
      <c r="I357" s="13">
        <v>60</v>
      </c>
      <c r="J357" s="8">
        <v>4</v>
      </c>
      <c r="K357" s="14" t="s">
        <v>561</v>
      </c>
      <c r="L357" s="14">
        <v>2</v>
      </c>
      <c r="M357" s="8">
        <v>1035</v>
      </c>
      <c r="N357" s="8" t="s">
        <v>563</v>
      </c>
      <c r="O357" s="23"/>
      <c r="P357" s="14">
        <f>D357-(F357+H357)*J357-M357-H357*L357</f>
        <v>1109</v>
      </c>
      <c r="Q357" s="10">
        <f>P357-I357</f>
        <v>1049</v>
      </c>
      <c r="R357" s="26">
        <f>(D357-P357)/D357</f>
        <v>0.82671874999999995</v>
      </c>
    </row>
    <row r="358" spans="1:19" ht="24.9" customHeight="1" x14ac:dyDescent="0.25">
      <c r="A358" s="8">
        <v>356</v>
      </c>
      <c r="B358" s="6" t="s">
        <v>332</v>
      </c>
      <c r="C358" s="21" t="s">
        <v>358</v>
      </c>
      <c r="D358" s="21">
        <v>6300</v>
      </c>
      <c r="E358" s="13" t="s">
        <v>261</v>
      </c>
      <c r="F358" s="8">
        <v>1296</v>
      </c>
      <c r="G358" s="8" t="s">
        <v>563</v>
      </c>
      <c r="H358" s="8">
        <v>2</v>
      </c>
      <c r="I358" s="13">
        <v>60</v>
      </c>
      <c r="J358" s="8">
        <v>3</v>
      </c>
      <c r="K358" s="14" t="s">
        <v>559</v>
      </c>
      <c r="L358" s="14">
        <v>2</v>
      </c>
      <c r="M358" s="8">
        <v>1080</v>
      </c>
      <c r="N358" s="8" t="s">
        <v>563</v>
      </c>
      <c r="O358" s="23"/>
      <c r="P358" s="14">
        <f>D358-(F358+H358)*J358-M358-H358*L358</f>
        <v>1322</v>
      </c>
      <c r="Q358" s="10">
        <f>P358-I358</f>
        <v>1262</v>
      </c>
      <c r="R358" s="26">
        <f>(D358-P358)/D358</f>
        <v>0.79015873015873017</v>
      </c>
    </row>
    <row r="359" spans="1:19" ht="24.9" customHeight="1" x14ac:dyDescent="0.25">
      <c r="A359" s="8">
        <v>357</v>
      </c>
      <c r="B359" s="6" t="s">
        <v>384</v>
      </c>
      <c r="C359" s="21" t="s">
        <v>358</v>
      </c>
      <c r="D359" s="21">
        <v>5700</v>
      </c>
      <c r="E359" s="13" t="s">
        <v>261</v>
      </c>
      <c r="F359" s="8">
        <v>930</v>
      </c>
      <c r="G359" s="8" t="s">
        <v>563</v>
      </c>
      <c r="H359" s="13">
        <v>3</v>
      </c>
      <c r="I359" s="13">
        <v>60</v>
      </c>
      <c r="J359" s="8">
        <v>6</v>
      </c>
      <c r="K359" s="14" t="s">
        <v>251</v>
      </c>
      <c r="L359" s="14">
        <v>0</v>
      </c>
      <c r="M359" s="8">
        <v>0</v>
      </c>
      <c r="N359" s="8"/>
      <c r="O359" s="23"/>
      <c r="P359" s="14">
        <f>D359-(F359+H359)*J359-M359-H359*L359</f>
        <v>102</v>
      </c>
      <c r="Q359" s="10">
        <f>P359-I359</f>
        <v>42</v>
      </c>
      <c r="R359" s="26">
        <f>(D359-P359)/D359</f>
        <v>0.9821052631578947</v>
      </c>
    </row>
    <row r="360" spans="1:19" ht="24.9" customHeight="1" x14ac:dyDescent="0.25">
      <c r="A360" s="8">
        <v>358</v>
      </c>
      <c r="B360" s="6" t="s">
        <v>333</v>
      </c>
      <c r="C360" s="21" t="s">
        <v>358</v>
      </c>
      <c r="D360" s="21">
        <v>5900</v>
      </c>
      <c r="E360" s="13" t="s">
        <v>261</v>
      </c>
      <c r="F360" s="8">
        <v>1152</v>
      </c>
      <c r="G360" s="8" t="s">
        <v>563</v>
      </c>
      <c r="H360" s="13">
        <v>3</v>
      </c>
      <c r="I360" s="13">
        <v>60</v>
      </c>
      <c r="J360" s="8">
        <v>5</v>
      </c>
      <c r="K360" s="14" t="s">
        <v>251</v>
      </c>
      <c r="L360" s="14">
        <v>0</v>
      </c>
      <c r="M360" s="8">
        <v>0</v>
      </c>
      <c r="N360" s="8"/>
      <c r="O360" s="23"/>
      <c r="P360" s="14">
        <f>D360-(F360+H360)*J360-M360-H360*L360</f>
        <v>125</v>
      </c>
      <c r="Q360" s="10">
        <f>P360-I360</f>
        <v>65</v>
      </c>
      <c r="R360" s="26">
        <f>(D360-P360)/D360</f>
        <v>0.97881355932203384</v>
      </c>
    </row>
    <row r="361" spans="1:19" ht="24.9" customHeight="1" x14ac:dyDescent="0.25">
      <c r="A361" s="8">
        <v>359</v>
      </c>
      <c r="B361" s="6" t="s">
        <v>334</v>
      </c>
      <c r="C361" s="21" t="s">
        <v>556</v>
      </c>
      <c r="D361" s="21">
        <v>6100</v>
      </c>
      <c r="E361" s="13" t="s">
        <v>261</v>
      </c>
      <c r="F361" s="8">
        <v>497</v>
      </c>
      <c r="G361" s="8" t="s">
        <v>563</v>
      </c>
      <c r="H361" s="13">
        <v>3</v>
      </c>
      <c r="I361" s="13">
        <v>60</v>
      </c>
      <c r="J361" s="8">
        <v>12</v>
      </c>
      <c r="K361" s="14" t="s">
        <v>251</v>
      </c>
      <c r="L361" s="14">
        <v>0</v>
      </c>
      <c r="M361" s="8">
        <v>0</v>
      </c>
      <c r="N361" s="8"/>
      <c r="O361" s="23"/>
      <c r="P361" s="14">
        <f>D361-(F361+H361)*J361-M361-H361*L361</f>
        <v>100</v>
      </c>
      <c r="Q361" s="10">
        <f>P361-I361</f>
        <v>40</v>
      </c>
      <c r="R361" s="26">
        <f>(D361-P361)/D361</f>
        <v>0.98360655737704916</v>
      </c>
      <c r="S361" s="7" t="s">
        <v>512</v>
      </c>
    </row>
    <row r="362" spans="1:19" ht="24.9" customHeight="1" x14ac:dyDescent="0.25">
      <c r="A362" s="33">
        <v>360</v>
      </c>
      <c r="B362" s="34" t="s">
        <v>335</v>
      </c>
      <c r="C362" s="35" t="s">
        <v>359</v>
      </c>
      <c r="D362" s="35">
        <v>6500</v>
      </c>
      <c r="E362" s="36" t="s">
        <v>261</v>
      </c>
      <c r="F362" s="33">
        <v>1246</v>
      </c>
      <c r="G362" s="33" t="s">
        <v>563</v>
      </c>
      <c r="H362" s="13">
        <v>3</v>
      </c>
      <c r="I362" s="13">
        <v>60</v>
      </c>
      <c r="J362" s="33">
        <v>5</v>
      </c>
      <c r="K362" s="37" t="s">
        <v>251</v>
      </c>
      <c r="L362" s="14">
        <v>0</v>
      </c>
      <c r="M362" s="8">
        <v>0</v>
      </c>
      <c r="N362" s="33"/>
      <c r="O362" s="38" t="s">
        <v>317</v>
      </c>
      <c r="P362" s="14">
        <f>D362-(F362+H362)*J362-M362-H362*L362</f>
        <v>255</v>
      </c>
      <c r="Q362" s="10">
        <f>P362-I362</f>
        <v>195</v>
      </c>
      <c r="R362" s="26">
        <f>(D362-P362)/D362</f>
        <v>0.96076923076923082</v>
      </c>
    </row>
    <row r="363" spans="1:19" ht="24.9" customHeight="1" x14ac:dyDescent="0.25">
      <c r="A363" s="33">
        <v>361</v>
      </c>
      <c r="B363" s="34" t="s">
        <v>336</v>
      </c>
      <c r="C363" s="35" t="s">
        <v>359</v>
      </c>
      <c r="D363" s="35">
        <v>6500</v>
      </c>
      <c r="E363" s="36" t="s">
        <v>261</v>
      </c>
      <c r="F363" s="33">
        <v>1361</v>
      </c>
      <c r="G363" s="33" t="s">
        <v>563</v>
      </c>
      <c r="H363" s="33">
        <v>3</v>
      </c>
      <c r="I363" s="13">
        <v>60</v>
      </c>
      <c r="J363" s="33">
        <v>3</v>
      </c>
      <c r="K363" s="39" t="s">
        <v>560</v>
      </c>
      <c r="L363" s="39">
        <v>2</v>
      </c>
      <c r="M363" s="33">
        <v>1125</v>
      </c>
      <c r="N363" s="33" t="s">
        <v>563</v>
      </c>
      <c r="O363" s="38" t="s">
        <v>317</v>
      </c>
      <c r="P363" s="14">
        <f>D363-(F363+H363)*J363-M363-H363*L363</f>
        <v>1277</v>
      </c>
      <c r="Q363" s="10">
        <f>P363-I363</f>
        <v>1217</v>
      </c>
      <c r="R363" s="26">
        <f>(D363-P363)/D363</f>
        <v>0.80353846153846153</v>
      </c>
    </row>
    <row r="364" spans="1:19" ht="24.9" customHeight="1" x14ac:dyDescent="0.25">
      <c r="A364" s="8">
        <v>362</v>
      </c>
      <c r="B364" s="6" t="s">
        <v>337</v>
      </c>
      <c r="C364" s="21" t="s">
        <v>358</v>
      </c>
      <c r="D364" s="21">
        <v>5700</v>
      </c>
      <c r="E364" s="13" t="s">
        <v>261</v>
      </c>
      <c r="F364" s="8">
        <v>1098</v>
      </c>
      <c r="G364" s="8" t="s">
        <v>563</v>
      </c>
      <c r="H364" s="13">
        <v>3</v>
      </c>
      <c r="I364" s="13">
        <v>60</v>
      </c>
      <c r="J364" s="8">
        <v>5</v>
      </c>
      <c r="K364" s="14" t="s">
        <v>251</v>
      </c>
      <c r="L364" s="14">
        <v>0</v>
      </c>
      <c r="M364" s="8">
        <v>0</v>
      </c>
      <c r="N364" s="8"/>
      <c r="O364" s="23"/>
      <c r="P364" s="14">
        <f>D364-(F364+H364)*J364-M364-H364*L364</f>
        <v>195</v>
      </c>
      <c r="Q364" s="10">
        <f>P364-I364</f>
        <v>135</v>
      </c>
      <c r="R364" s="26">
        <f>(D364-P364)/D364</f>
        <v>0.96578947368421053</v>
      </c>
    </row>
    <row r="365" spans="1:19" ht="24.9" customHeight="1" x14ac:dyDescent="0.25">
      <c r="A365" s="8">
        <v>363</v>
      </c>
      <c r="B365" s="6" t="s">
        <v>338</v>
      </c>
      <c r="C365" s="21" t="s">
        <v>358</v>
      </c>
      <c r="D365" s="21">
        <v>5900</v>
      </c>
      <c r="E365" s="13" t="s">
        <v>261</v>
      </c>
      <c r="F365" s="8">
        <v>1146</v>
      </c>
      <c r="G365" s="8" t="s">
        <v>563</v>
      </c>
      <c r="H365" s="13">
        <v>3</v>
      </c>
      <c r="I365" s="13">
        <v>60</v>
      </c>
      <c r="J365" s="8">
        <v>5</v>
      </c>
      <c r="K365" s="14" t="s">
        <v>251</v>
      </c>
      <c r="L365" s="14">
        <v>0</v>
      </c>
      <c r="M365" s="8">
        <v>0</v>
      </c>
      <c r="N365" s="8"/>
      <c r="O365" s="23"/>
      <c r="P365" s="14">
        <f>D365-(F365+H365)*J365-M365-H365*L365</f>
        <v>155</v>
      </c>
      <c r="Q365" s="10">
        <f>P365-I365</f>
        <v>95</v>
      </c>
      <c r="R365" s="26">
        <f>(D365-P365)/D365</f>
        <v>0.97372881355932206</v>
      </c>
    </row>
    <row r="366" spans="1:19" ht="24.9" customHeight="1" x14ac:dyDescent="0.25">
      <c r="A366" s="8">
        <v>364</v>
      </c>
      <c r="B366" s="6" t="s">
        <v>339</v>
      </c>
      <c r="C366" s="21" t="s">
        <v>358</v>
      </c>
      <c r="D366" s="21">
        <v>6300</v>
      </c>
      <c r="E366" s="13" t="s">
        <v>261</v>
      </c>
      <c r="F366" s="8">
        <v>1183</v>
      </c>
      <c r="G366" s="8" t="s">
        <v>563</v>
      </c>
      <c r="H366" s="13">
        <v>3</v>
      </c>
      <c r="I366" s="13">
        <v>60</v>
      </c>
      <c r="J366" s="8">
        <v>5</v>
      </c>
      <c r="K366" s="14" t="s">
        <v>251</v>
      </c>
      <c r="L366" s="14">
        <v>0</v>
      </c>
      <c r="M366" s="8">
        <v>0</v>
      </c>
      <c r="N366" s="8"/>
      <c r="O366" s="23"/>
      <c r="P366" s="14">
        <f>D366-(F366+H366)*J366-M366-H366*L366</f>
        <v>370</v>
      </c>
      <c r="Q366" s="10">
        <f>P366-I366</f>
        <v>310</v>
      </c>
      <c r="R366" s="26">
        <f>(D366-P366)/D366</f>
        <v>0.94126984126984126</v>
      </c>
    </row>
    <row r="367" spans="1:19" ht="24.9" customHeight="1" x14ac:dyDescent="0.25">
      <c r="A367" s="8">
        <v>365</v>
      </c>
      <c r="B367" s="6" t="s">
        <v>340</v>
      </c>
      <c r="C367" s="21" t="s">
        <v>555</v>
      </c>
      <c r="D367" s="21">
        <v>5660</v>
      </c>
      <c r="E367" s="21" t="s">
        <v>250</v>
      </c>
      <c r="F367" s="13">
        <v>1120</v>
      </c>
      <c r="G367" s="13" t="s">
        <v>563</v>
      </c>
      <c r="H367" s="13">
        <v>2</v>
      </c>
      <c r="I367" s="13">
        <v>60</v>
      </c>
      <c r="J367" s="8">
        <v>5</v>
      </c>
      <c r="K367" s="14" t="s">
        <v>251</v>
      </c>
      <c r="L367" s="14">
        <v>0</v>
      </c>
      <c r="M367" s="8">
        <v>0</v>
      </c>
      <c r="N367" s="8"/>
      <c r="O367" s="23"/>
      <c r="P367" s="14">
        <f>D367-(F367+H367)*J367-M367-H367*L367</f>
        <v>50</v>
      </c>
      <c r="Q367" s="10">
        <f>P367-I367</f>
        <v>-10</v>
      </c>
      <c r="R367" s="26">
        <f>(D367-P367)/D367</f>
        <v>0.99116607773851595</v>
      </c>
    </row>
    <row r="368" spans="1:19" ht="24.9" customHeight="1" x14ac:dyDescent="0.25">
      <c r="A368" s="8">
        <v>366</v>
      </c>
      <c r="B368" s="6" t="s">
        <v>15</v>
      </c>
      <c r="C368" s="21" t="s">
        <v>357</v>
      </c>
      <c r="D368" s="21">
        <v>5800</v>
      </c>
      <c r="E368" s="21" t="s">
        <v>250</v>
      </c>
      <c r="F368" s="13">
        <v>1220</v>
      </c>
      <c r="G368" s="13" t="s">
        <v>563</v>
      </c>
      <c r="H368" s="13">
        <v>2</v>
      </c>
      <c r="I368" s="13">
        <v>60</v>
      </c>
      <c r="J368" s="8">
        <v>3</v>
      </c>
      <c r="K368" s="27" t="s">
        <v>399</v>
      </c>
      <c r="L368" s="27">
        <v>2</v>
      </c>
      <c r="M368" s="8">
        <v>1010</v>
      </c>
      <c r="N368" s="8" t="s">
        <v>563</v>
      </c>
      <c r="O368" s="23"/>
      <c r="P368" s="14">
        <f>D368-(F368+H368)*J368-M368-H368*L368</f>
        <v>1120</v>
      </c>
      <c r="Q368" s="10">
        <f>P368-I368</f>
        <v>1060</v>
      </c>
      <c r="R368" s="26">
        <f>(D368-P368)/D368</f>
        <v>0.80689655172413788</v>
      </c>
    </row>
    <row r="369" spans="1:19" ht="24.9" customHeight="1" x14ac:dyDescent="0.25">
      <c r="A369" s="8">
        <v>367</v>
      </c>
      <c r="B369" s="6" t="s">
        <v>342</v>
      </c>
      <c r="C369" s="21" t="s">
        <v>357</v>
      </c>
      <c r="D369" s="21">
        <v>6300</v>
      </c>
      <c r="E369" s="21" t="s">
        <v>250</v>
      </c>
      <c r="F369" s="13">
        <v>1260</v>
      </c>
      <c r="G369" s="13" t="s">
        <v>563</v>
      </c>
      <c r="H369" s="13">
        <v>2</v>
      </c>
      <c r="I369" s="13">
        <v>60</v>
      </c>
      <c r="J369" s="8">
        <v>4</v>
      </c>
      <c r="K369" s="14" t="s">
        <v>578</v>
      </c>
      <c r="L369" s="14">
        <v>1</v>
      </c>
      <c r="M369" s="8">
        <v>1190</v>
      </c>
      <c r="N369" s="8" t="s">
        <v>563</v>
      </c>
      <c r="O369" s="23"/>
      <c r="P369" s="14">
        <f>D369-(F369+H369)*J369-M369-H369*L369</f>
        <v>60</v>
      </c>
      <c r="Q369" s="10">
        <f>P369-I369</f>
        <v>0</v>
      </c>
      <c r="R369" s="26">
        <f>(D369-P369)/D369</f>
        <v>0.99047619047619051</v>
      </c>
    </row>
    <row r="370" spans="1:19" ht="24.9" customHeight="1" x14ac:dyDescent="0.25">
      <c r="A370" s="8">
        <v>368</v>
      </c>
      <c r="B370" s="17" t="s">
        <v>528</v>
      </c>
      <c r="C370" s="21" t="s">
        <v>357</v>
      </c>
      <c r="D370" s="21">
        <v>6100</v>
      </c>
      <c r="E370" s="21" t="s">
        <v>261</v>
      </c>
      <c r="F370" s="8">
        <v>1460</v>
      </c>
      <c r="G370" s="8" t="s">
        <v>563</v>
      </c>
      <c r="H370" s="13">
        <v>3</v>
      </c>
      <c r="I370" s="13">
        <v>60</v>
      </c>
      <c r="J370" s="8">
        <v>4</v>
      </c>
      <c r="K370" s="14" t="s">
        <v>251</v>
      </c>
      <c r="L370" s="14">
        <v>0</v>
      </c>
      <c r="M370" s="8">
        <v>0</v>
      </c>
      <c r="N370" s="8"/>
      <c r="O370" s="23" t="s">
        <v>516</v>
      </c>
      <c r="P370" s="14">
        <f>D370-(F370+H370)*J370-M370-H370*L370</f>
        <v>248</v>
      </c>
      <c r="Q370" s="10">
        <f>P370-I370</f>
        <v>188</v>
      </c>
      <c r="R370" s="26">
        <f>(D370-P370)/D370</f>
        <v>0.95934426229508196</v>
      </c>
      <c r="S370" s="7" t="s">
        <v>480</v>
      </c>
    </row>
    <row r="371" spans="1:19" ht="24.9" customHeight="1" x14ac:dyDescent="0.25">
      <c r="A371" s="8">
        <v>369</v>
      </c>
      <c r="B371" s="17" t="s">
        <v>529</v>
      </c>
      <c r="C371" s="21" t="s">
        <v>357</v>
      </c>
      <c r="D371" s="21">
        <v>5800</v>
      </c>
      <c r="E371" s="21" t="s">
        <v>261</v>
      </c>
      <c r="F371" s="8">
        <v>1145</v>
      </c>
      <c r="G371" s="8" t="s">
        <v>563</v>
      </c>
      <c r="H371" s="13">
        <v>3</v>
      </c>
      <c r="I371" s="13">
        <v>60</v>
      </c>
      <c r="J371" s="8">
        <v>5</v>
      </c>
      <c r="K371" s="14" t="s">
        <v>251</v>
      </c>
      <c r="L371" s="14">
        <v>0</v>
      </c>
      <c r="M371" s="8">
        <v>0</v>
      </c>
      <c r="N371" s="8"/>
      <c r="O371" s="23" t="s">
        <v>515</v>
      </c>
      <c r="P371" s="14">
        <f>D371-(F371+H371)*J371-M371-H371*L371</f>
        <v>60</v>
      </c>
      <c r="Q371" s="10">
        <f>P371-I371</f>
        <v>0</v>
      </c>
      <c r="R371" s="26">
        <f>(D371-P371)/D371</f>
        <v>0.98965517241379308</v>
      </c>
    </row>
    <row r="372" spans="1:19" ht="24.9" customHeight="1" x14ac:dyDescent="0.25">
      <c r="A372" s="8">
        <v>370</v>
      </c>
      <c r="B372" s="6" t="s">
        <v>343</v>
      </c>
      <c r="C372" s="21" t="s">
        <v>357</v>
      </c>
      <c r="D372" s="21">
        <v>5800</v>
      </c>
      <c r="E372" s="21" t="s">
        <v>250</v>
      </c>
      <c r="F372" s="13">
        <v>898</v>
      </c>
      <c r="G372" s="13" t="s">
        <v>563</v>
      </c>
      <c r="H372" s="13">
        <v>2</v>
      </c>
      <c r="I372" s="13">
        <v>60</v>
      </c>
      <c r="J372" s="8">
        <v>5</v>
      </c>
      <c r="K372" s="14" t="s">
        <v>569</v>
      </c>
      <c r="L372" s="14">
        <v>1</v>
      </c>
      <c r="M372" s="8">
        <v>1210</v>
      </c>
      <c r="N372" s="8" t="s">
        <v>563</v>
      </c>
      <c r="O372" s="23" t="s">
        <v>413</v>
      </c>
      <c r="P372" s="14">
        <f>D372-(F372+H372)*J372-M372-H372*L372</f>
        <v>88</v>
      </c>
      <c r="Q372" s="10">
        <f>P372-I372</f>
        <v>28</v>
      </c>
      <c r="R372" s="26">
        <f>(D372-P372)/D372</f>
        <v>0.98482758620689659</v>
      </c>
    </row>
    <row r="373" spans="1:19" ht="24.9" customHeight="1" x14ac:dyDescent="0.25">
      <c r="A373" s="8">
        <v>371</v>
      </c>
      <c r="B373" s="6" t="s">
        <v>344</v>
      </c>
      <c r="C373" s="21" t="s">
        <v>357</v>
      </c>
      <c r="D373" s="21">
        <v>5800</v>
      </c>
      <c r="E373" s="21" t="s">
        <v>250</v>
      </c>
      <c r="F373" s="13">
        <v>501</v>
      </c>
      <c r="G373" s="13" t="s">
        <v>563</v>
      </c>
      <c r="H373" s="13">
        <v>3</v>
      </c>
      <c r="I373" s="13">
        <v>60</v>
      </c>
      <c r="J373" s="8">
        <v>11</v>
      </c>
      <c r="K373" s="14" t="s">
        <v>567</v>
      </c>
      <c r="L373" s="14">
        <v>0</v>
      </c>
      <c r="M373" s="8">
        <v>0</v>
      </c>
      <c r="N373" s="8"/>
      <c r="O373" s="23" t="s">
        <v>413</v>
      </c>
      <c r="P373" s="14">
        <f>D373-(F373+H373)*J373-M373-H373*L373</f>
        <v>256</v>
      </c>
      <c r="Q373" s="10">
        <f>P373-I373</f>
        <v>196</v>
      </c>
      <c r="R373" s="26">
        <f>(D373-P373)/D373</f>
        <v>0.95586206896551729</v>
      </c>
    </row>
    <row r="374" spans="1:19" ht="24.9" customHeight="1" x14ac:dyDescent="0.25">
      <c r="A374" s="8">
        <v>372</v>
      </c>
      <c r="B374" s="4" t="s">
        <v>345</v>
      </c>
      <c r="C374" s="21" t="s">
        <v>357</v>
      </c>
      <c r="D374" s="21">
        <v>6300</v>
      </c>
      <c r="E374" s="21" t="s">
        <v>250</v>
      </c>
      <c r="F374" s="13">
        <v>1045</v>
      </c>
      <c r="G374" s="13" t="s">
        <v>563</v>
      </c>
      <c r="H374" s="13">
        <v>2</v>
      </c>
      <c r="I374" s="13">
        <v>60</v>
      </c>
      <c r="J374" s="13">
        <v>4</v>
      </c>
      <c r="K374" s="27" t="s">
        <v>399</v>
      </c>
      <c r="L374" s="27">
        <v>2</v>
      </c>
      <c r="M374" s="13">
        <v>1010</v>
      </c>
      <c r="N374" s="13" t="s">
        <v>563</v>
      </c>
      <c r="O374" s="32"/>
      <c r="P374" s="14">
        <f>D374-(F374+H374)*J374-M374-H374*L374</f>
        <v>1098</v>
      </c>
      <c r="Q374" s="10">
        <f>P374-I374</f>
        <v>1038</v>
      </c>
      <c r="R374" s="26">
        <f>(D374-P374)/D374</f>
        <v>0.82571428571428573</v>
      </c>
    </row>
    <row r="375" spans="1:19" ht="24.9" customHeight="1" x14ac:dyDescent="0.25">
      <c r="A375" s="33">
        <v>373</v>
      </c>
      <c r="B375" s="34" t="s">
        <v>346</v>
      </c>
      <c r="C375" s="35" t="s">
        <v>357</v>
      </c>
      <c r="D375" s="35">
        <v>6100</v>
      </c>
      <c r="E375" s="35" t="s">
        <v>261</v>
      </c>
      <c r="F375" s="33">
        <v>1325</v>
      </c>
      <c r="G375" s="33" t="s">
        <v>563</v>
      </c>
      <c r="H375" s="33">
        <v>2</v>
      </c>
      <c r="I375" s="13">
        <v>60</v>
      </c>
      <c r="J375" s="33">
        <v>3</v>
      </c>
      <c r="K375" s="37" t="s">
        <v>399</v>
      </c>
      <c r="L375" s="37">
        <v>2</v>
      </c>
      <c r="M375" s="33">
        <v>1010</v>
      </c>
      <c r="N375" s="33" t="s">
        <v>563</v>
      </c>
      <c r="O375" s="38" t="s">
        <v>317</v>
      </c>
      <c r="P375" s="14">
        <f>D375-(F375+H375)*J375-M375-H375*L375</f>
        <v>1105</v>
      </c>
      <c r="Q375" s="10">
        <f>P375-I375</f>
        <v>1045</v>
      </c>
      <c r="R375" s="26">
        <f>(D375-P375)/D375</f>
        <v>0.81885245901639347</v>
      </c>
    </row>
    <row r="376" spans="1:19" ht="24.9" customHeight="1" x14ac:dyDescent="0.25">
      <c r="A376" s="8">
        <v>374</v>
      </c>
      <c r="B376" s="6" t="s">
        <v>347</v>
      </c>
      <c r="C376" s="21" t="s">
        <v>360</v>
      </c>
      <c r="D376" s="21">
        <v>6200</v>
      </c>
      <c r="E376" s="13" t="s">
        <v>261</v>
      </c>
      <c r="F376" s="8">
        <v>1025</v>
      </c>
      <c r="G376" s="8" t="s">
        <v>563</v>
      </c>
      <c r="H376" s="13">
        <v>2</v>
      </c>
      <c r="I376" s="13">
        <v>60</v>
      </c>
      <c r="J376" s="8">
        <v>6</v>
      </c>
      <c r="K376" s="14" t="s">
        <v>251</v>
      </c>
      <c r="L376" s="14">
        <v>0</v>
      </c>
      <c r="M376" s="8">
        <v>0</v>
      </c>
      <c r="N376" s="8"/>
      <c r="O376" s="23"/>
      <c r="P376" s="14">
        <f>D376-(F376+H376)*J376-M376-H376*L376</f>
        <v>38</v>
      </c>
      <c r="Q376" s="10">
        <f>P376-I376</f>
        <v>-22</v>
      </c>
      <c r="R376" s="26">
        <f>(D376-P376)/D376</f>
        <v>0.99387096774193551</v>
      </c>
    </row>
    <row r="377" spans="1:19" ht="24.9" customHeight="1" x14ac:dyDescent="0.25">
      <c r="A377" s="33">
        <v>375</v>
      </c>
      <c r="B377" s="34" t="s">
        <v>348</v>
      </c>
      <c r="C377" s="35" t="s">
        <v>359</v>
      </c>
      <c r="D377" s="35">
        <v>6500</v>
      </c>
      <c r="E377" s="36" t="s">
        <v>261</v>
      </c>
      <c r="F377" s="33">
        <v>1497</v>
      </c>
      <c r="G377" s="33" t="s">
        <v>563</v>
      </c>
      <c r="H377" s="13">
        <v>2</v>
      </c>
      <c r="I377" s="13">
        <v>60</v>
      </c>
      <c r="J377" s="33">
        <v>4</v>
      </c>
      <c r="K377" s="37" t="s">
        <v>349</v>
      </c>
      <c r="L377" s="14">
        <v>0</v>
      </c>
      <c r="M377" s="8">
        <v>0</v>
      </c>
      <c r="N377" s="33"/>
      <c r="O377" s="38" t="s">
        <v>317</v>
      </c>
      <c r="P377" s="14">
        <f>D377-(F377+H377)*J377-M377-H377*L377</f>
        <v>504</v>
      </c>
      <c r="Q377" s="10">
        <f>P377-I377</f>
        <v>444</v>
      </c>
      <c r="R377" s="26">
        <f>(D377-P377)/D377</f>
        <v>0.92246153846153844</v>
      </c>
    </row>
    <row r="378" spans="1:19" ht="24.9" customHeight="1" x14ac:dyDescent="0.25">
      <c r="A378" s="8">
        <v>376</v>
      </c>
      <c r="B378" s="6" t="s">
        <v>350</v>
      </c>
      <c r="C378" s="21" t="s">
        <v>360</v>
      </c>
      <c r="D378" s="21">
        <v>6200</v>
      </c>
      <c r="E378" s="13" t="s">
        <v>261</v>
      </c>
      <c r="F378" s="8">
        <v>1175</v>
      </c>
      <c r="G378" s="8" t="s">
        <v>563</v>
      </c>
      <c r="H378" s="13">
        <v>2</v>
      </c>
      <c r="I378" s="13">
        <v>60</v>
      </c>
      <c r="J378" s="8">
        <v>5</v>
      </c>
      <c r="K378" s="14" t="s">
        <v>286</v>
      </c>
      <c r="L378" s="14">
        <v>0</v>
      </c>
      <c r="M378" s="8">
        <v>0</v>
      </c>
      <c r="N378" s="8"/>
      <c r="O378" s="23"/>
      <c r="P378" s="14">
        <f>D378-(F378+H378)*J378-M378-H378*L378</f>
        <v>315</v>
      </c>
      <c r="Q378" s="10">
        <f>P378-I378</f>
        <v>255</v>
      </c>
      <c r="R378" s="26">
        <f>(D378-P378)/D378</f>
        <v>0.9491935483870968</v>
      </c>
    </row>
    <row r="379" spans="1:19" ht="24.9" customHeight="1" x14ac:dyDescent="0.25">
      <c r="A379" s="47">
        <v>377</v>
      </c>
      <c r="B379" s="54" t="s">
        <v>361</v>
      </c>
      <c r="C379" s="48" t="s">
        <v>357</v>
      </c>
      <c r="D379" s="48">
        <v>6100</v>
      </c>
      <c r="E379" s="49" t="s">
        <v>261</v>
      </c>
      <c r="F379" s="47">
        <v>1079</v>
      </c>
      <c r="G379" s="47" t="s">
        <v>563</v>
      </c>
      <c r="H379" s="47">
        <v>2</v>
      </c>
      <c r="I379" s="13">
        <v>60</v>
      </c>
      <c r="J379" s="47">
        <v>5</v>
      </c>
      <c r="K379" s="52" t="s">
        <v>377</v>
      </c>
      <c r="L379" s="52">
        <v>1</v>
      </c>
      <c r="M379" s="47">
        <v>560</v>
      </c>
      <c r="N379" s="47" t="s">
        <v>563</v>
      </c>
      <c r="O379" s="53" t="s">
        <v>315</v>
      </c>
      <c r="P379" s="14">
        <f>D379-(F379+H379)*J379-M379-H379*L379</f>
        <v>133</v>
      </c>
      <c r="Q379" s="10">
        <f>P379-I379</f>
        <v>73</v>
      </c>
      <c r="R379" s="26">
        <f>(D379-P379)/D379</f>
        <v>0.97819672131147539</v>
      </c>
    </row>
    <row r="380" spans="1:19" ht="24.9" customHeight="1" x14ac:dyDescent="0.25">
      <c r="A380" s="8">
        <v>378</v>
      </c>
      <c r="B380" s="6" t="s">
        <v>362</v>
      </c>
      <c r="C380" s="21" t="s">
        <v>360</v>
      </c>
      <c r="D380" s="21">
        <v>6200</v>
      </c>
      <c r="E380" s="13" t="s">
        <v>261</v>
      </c>
      <c r="F380" s="8">
        <v>1185</v>
      </c>
      <c r="G380" s="8" t="s">
        <v>563</v>
      </c>
      <c r="H380" s="13">
        <v>2</v>
      </c>
      <c r="I380" s="13">
        <v>60</v>
      </c>
      <c r="J380" s="8">
        <v>5</v>
      </c>
      <c r="K380" s="14" t="s">
        <v>286</v>
      </c>
      <c r="L380" s="14">
        <v>0</v>
      </c>
      <c r="M380" s="8">
        <v>0</v>
      </c>
      <c r="N380" s="8"/>
      <c r="O380" s="23"/>
      <c r="P380" s="14">
        <f>D380-(F380+H380)*J380-M380-H380*L380</f>
        <v>265</v>
      </c>
      <c r="Q380" s="10">
        <f>P380-I380</f>
        <v>205</v>
      </c>
      <c r="R380" s="26">
        <f>(D380-P380)/D380</f>
        <v>0.95725806451612905</v>
      </c>
    </row>
    <row r="381" spans="1:19" ht="24.9" customHeight="1" x14ac:dyDescent="0.25">
      <c r="A381" s="8">
        <v>379</v>
      </c>
      <c r="B381" s="6" t="s">
        <v>363</v>
      </c>
      <c r="C381" s="21" t="s">
        <v>360</v>
      </c>
      <c r="D381" s="21">
        <v>6200</v>
      </c>
      <c r="E381" s="13" t="s">
        <v>261</v>
      </c>
      <c r="F381" s="8">
        <v>1367</v>
      </c>
      <c r="G381" s="8" t="s">
        <v>563</v>
      </c>
      <c r="H381" s="13">
        <v>2</v>
      </c>
      <c r="I381" s="13">
        <v>60</v>
      </c>
      <c r="J381" s="8">
        <v>4</v>
      </c>
      <c r="K381" s="14" t="s">
        <v>286</v>
      </c>
      <c r="L381" s="14">
        <v>0</v>
      </c>
      <c r="M381" s="8">
        <v>0</v>
      </c>
      <c r="N381" s="8"/>
      <c r="O381" s="23"/>
      <c r="P381" s="14">
        <f>D381-(F381+H381)*J381-M381-H381*L381</f>
        <v>724</v>
      </c>
      <c r="Q381" s="10">
        <f>P381-I381</f>
        <v>664</v>
      </c>
      <c r="R381" s="26">
        <f>(D381-P381)/D381</f>
        <v>0.88322580645161286</v>
      </c>
    </row>
    <row r="382" spans="1:19" ht="35.1" customHeight="1" x14ac:dyDescent="0.25">
      <c r="A382" s="8">
        <v>380</v>
      </c>
      <c r="B382" s="17" t="s">
        <v>414</v>
      </c>
      <c r="C382" s="21" t="s">
        <v>358</v>
      </c>
      <c r="D382" s="21">
        <v>6300</v>
      </c>
      <c r="E382" s="13" t="s">
        <v>261</v>
      </c>
      <c r="F382" s="8">
        <v>665</v>
      </c>
      <c r="G382" s="8" t="s">
        <v>575</v>
      </c>
      <c r="H382" s="13">
        <v>3</v>
      </c>
      <c r="I382" s="13">
        <v>60</v>
      </c>
      <c r="J382" s="8">
        <v>9</v>
      </c>
      <c r="K382" s="14" t="s">
        <v>251</v>
      </c>
      <c r="L382" s="14">
        <v>0</v>
      </c>
      <c r="M382" s="8">
        <v>0</v>
      </c>
      <c r="N382" s="8"/>
      <c r="O382" s="23" t="s">
        <v>413</v>
      </c>
      <c r="P382" s="14">
        <f>D382-(F382+H382)*J382-M382-H382*L382</f>
        <v>288</v>
      </c>
      <c r="Q382" s="10">
        <f>P382-I382</f>
        <v>228</v>
      </c>
      <c r="R382" s="26">
        <f>(D382-P382)/D382</f>
        <v>0.95428571428571429</v>
      </c>
    </row>
    <row r="383" spans="1:19" ht="35.1" customHeight="1" x14ac:dyDescent="0.25">
      <c r="A383" s="8">
        <v>381</v>
      </c>
      <c r="B383" s="17" t="s">
        <v>366</v>
      </c>
      <c r="C383" s="21" t="s">
        <v>358</v>
      </c>
      <c r="D383" s="21">
        <v>6400</v>
      </c>
      <c r="E383" s="13" t="s">
        <v>261</v>
      </c>
      <c r="F383" s="8">
        <v>695</v>
      </c>
      <c r="G383" s="8" t="s">
        <v>575</v>
      </c>
      <c r="H383" s="13">
        <v>3</v>
      </c>
      <c r="I383" s="13">
        <v>60</v>
      </c>
      <c r="J383" s="8">
        <v>9</v>
      </c>
      <c r="K383" s="14" t="s">
        <v>251</v>
      </c>
      <c r="L383" s="14">
        <v>0</v>
      </c>
      <c r="M383" s="8">
        <v>0</v>
      </c>
      <c r="N383" s="8"/>
      <c r="O383" s="23" t="s">
        <v>413</v>
      </c>
      <c r="P383" s="14">
        <f>D383-(F383+H383)*J383-M383-H383*L383</f>
        <v>118</v>
      </c>
      <c r="Q383" s="10">
        <f>P383-I383</f>
        <v>58</v>
      </c>
      <c r="R383" s="26">
        <f>(D383-P383)/D383</f>
        <v>0.9815625</v>
      </c>
    </row>
    <row r="384" spans="1:19" ht="24.9" customHeight="1" x14ac:dyDescent="0.25">
      <c r="A384" s="8">
        <v>382</v>
      </c>
      <c r="B384" s="17" t="s">
        <v>367</v>
      </c>
      <c r="C384" s="21" t="s">
        <v>358</v>
      </c>
      <c r="D384" s="21">
        <v>6400</v>
      </c>
      <c r="E384" s="13" t="s">
        <v>261</v>
      </c>
      <c r="F384" s="8">
        <v>1320</v>
      </c>
      <c r="G384" s="8" t="s">
        <v>563</v>
      </c>
      <c r="H384" s="8">
        <v>3</v>
      </c>
      <c r="I384" s="13">
        <v>60</v>
      </c>
      <c r="J384" s="8">
        <v>4</v>
      </c>
      <c r="K384" s="14" t="s">
        <v>561</v>
      </c>
      <c r="L384" s="14">
        <v>1</v>
      </c>
      <c r="M384" s="8">
        <v>1035</v>
      </c>
      <c r="N384" s="8" t="s">
        <v>563</v>
      </c>
      <c r="O384" s="10"/>
      <c r="P384" s="14">
        <f>D384-(F384+H384)*J384-M384-H384*L384</f>
        <v>70</v>
      </c>
      <c r="Q384" s="10">
        <f>P384-I384</f>
        <v>10</v>
      </c>
      <c r="R384" s="26">
        <f>(D384-P384)/D384</f>
        <v>0.98906249999999996</v>
      </c>
    </row>
    <row r="385" spans="1:18" ht="24.9" customHeight="1" x14ac:dyDescent="0.25">
      <c r="A385" s="8">
        <v>383</v>
      </c>
      <c r="B385" s="6" t="s">
        <v>368</v>
      </c>
      <c r="C385" s="21" t="s">
        <v>358</v>
      </c>
      <c r="D385" s="21">
        <v>5700</v>
      </c>
      <c r="E385" s="13" t="s">
        <v>261</v>
      </c>
      <c r="F385" s="8">
        <v>1085</v>
      </c>
      <c r="G385" s="8" t="s">
        <v>563</v>
      </c>
      <c r="H385" s="13">
        <v>3</v>
      </c>
      <c r="I385" s="13">
        <v>60</v>
      </c>
      <c r="J385" s="8">
        <v>5</v>
      </c>
      <c r="K385" s="14" t="s">
        <v>251</v>
      </c>
      <c r="L385" s="14">
        <v>0</v>
      </c>
      <c r="M385" s="8">
        <v>0</v>
      </c>
      <c r="N385" s="8"/>
      <c r="O385" s="10"/>
      <c r="P385" s="14">
        <f>D385-(F385+H385)*J385-M385-H385*L385</f>
        <v>260</v>
      </c>
      <c r="Q385" s="10">
        <f>P385-I385</f>
        <v>200</v>
      </c>
      <c r="R385" s="26">
        <f>(D385-P385)/D385</f>
        <v>0.95438596491228067</v>
      </c>
    </row>
    <row r="386" spans="1:18" ht="24.9" customHeight="1" x14ac:dyDescent="0.25">
      <c r="A386" s="8">
        <v>384</v>
      </c>
      <c r="B386" s="6" t="s">
        <v>379</v>
      </c>
      <c r="C386" s="21" t="s">
        <v>359</v>
      </c>
      <c r="D386" s="21">
        <v>6500</v>
      </c>
      <c r="E386" s="21" t="s">
        <v>250</v>
      </c>
      <c r="F386" s="13">
        <v>1326</v>
      </c>
      <c r="G386" s="13" t="s">
        <v>563</v>
      </c>
      <c r="H386" s="13">
        <v>2</v>
      </c>
      <c r="I386" s="13">
        <v>60</v>
      </c>
      <c r="J386" s="8">
        <v>4</v>
      </c>
      <c r="K386" s="10" t="s">
        <v>560</v>
      </c>
      <c r="L386" s="14">
        <v>1</v>
      </c>
      <c r="M386" s="8">
        <v>1125</v>
      </c>
      <c r="N386" s="8" t="s">
        <v>563</v>
      </c>
      <c r="O386" s="24"/>
      <c r="P386" s="14">
        <f>D386-(F386+H386)*J386-M386-H386*L386</f>
        <v>61</v>
      </c>
      <c r="Q386" s="10">
        <f>P386-I386</f>
        <v>1</v>
      </c>
      <c r="R386" s="26">
        <f>(D386-P386)/D386</f>
        <v>0.99061538461538456</v>
      </c>
    </row>
    <row r="387" spans="1:18" ht="24.9" customHeight="1" x14ac:dyDescent="0.25">
      <c r="A387" s="47">
        <v>385</v>
      </c>
      <c r="B387" s="59" t="s">
        <v>380</v>
      </c>
      <c r="C387" s="48" t="s">
        <v>357</v>
      </c>
      <c r="D387" s="48">
        <v>6100</v>
      </c>
      <c r="E387" s="48" t="s">
        <v>250</v>
      </c>
      <c r="F387" s="47">
        <v>1071</v>
      </c>
      <c r="G387" s="47" t="s">
        <v>563</v>
      </c>
      <c r="H387" s="47">
        <v>2</v>
      </c>
      <c r="I387" s="13">
        <v>60</v>
      </c>
      <c r="J387" s="47">
        <v>5</v>
      </c>
      <c r="K387" s="52" t="s">
        <v>377</v>
      </c>
      <c r="L387" s="52">
        <v>1</v>
      </c>
      <c r="M387" s="47">
        <v>560</v>
      </c>
      <c r="N387" s="47" t="s">
        <v>563</v>
      </c>
      <c r="O387" s="53" t="s">
        <v>315</v>
      </c>
      <c r="P387" s="14">
        <f>D387-(F387+H387)*J387-M387-H387*L387</f>
        <v>173</v>
      </c>
      <c r="Q387" s="10">
        <f>P387-I387</f>
        <v>113</v>
      </c>
      <c r="R387" s="26">
        <f>(D387-P387)/D387</f>
        <v>0.97163934426229503</v>
      </c>
    </row>
    <row r="388" spans="1:18" ht="24.9" customHeight="1" x14ac:dyDescent="0.25">
      <c r="A388" s="47">
        <v>386</v>
      </c>
      <c r="B388" s="59" t="s">
        <v>381</v>
      </c>
      <c r="C388" s="48" t="s">
        <v>357</v>
      </c>
      <c r="D388" s="48">
        <v>6100</v>
      </c>
      <c r="E388" s="48" t="s">
        <v>250</v>
      </c>
      <c r="F388" s="47">
        <v>1061</v>
      </c>
      <c r="G388" s="47" t="s">
        <v>563</v>
      </c>
      <c r="H388" s="47">
        <v>2</v>
      </c>
      <c r="I388" s="13">
        <v>60</v>
      </c>
      <c r="J388" s="47">
        <v>5</v>
      </c>
      <c r="K388" s="52" t="s">
        <v>377</v>
      </c>
      <c r="L388" s="52">
        <v>1</v>
      </c>
      <c r="M388" s="47">
        <v>560</v>
      </c>
      <c r="N388" s="47" t="s">
        <v>563</v>
      </c>
      <c r="O388" s="53" t="s">
        <v>315</v>
      </c>
      <c r="P388" s="14">
        <f>D388-(F388+H388)*J388-M388-H388*L388</f>
        <v>223</v>
      </c>
      <c r="Q388" s="10">
        <f>P388-I388</f>
        <v>163</v>
      </c>
      <c r="R388" s="26">
        <f>(D388-P388)/D388</f>
        <v>0.96344262295081973</v>
      </c>
    </row>
    <row r="389" spans="1:18" ht="24.9" customHeight="1" x14ac:dyDescent="0.25">
      <c r="A389" s="47">
        <v>387</v>
      </c>
      <c r="B389" s="54" t="s">
        <v>370</v>
      </c>
      <c r="C389" s="48" t="s">
        <v>357</v>
      </c>
      <c r="D389" s="48">
        <v>5800</v>
      </c>
      <c r="E389" s="48" t="s">
        <v>250</v>
      </c>
      <c r="F389" s="47">
        <v>1131</v>
      </c>
      <c r="G389" s="47" t="s">
        <v>563</v>
      </c>
      <c r="H389" s="13">
        <v>3</v>
      </c>
      <c r="I389" s="13">
        <v>60</v>
      </c>
      <c r="J389" s="47">
        <v>5</v>
      </c>
      <c r="K389" s="52" t="s">
        <v>376</v>
      </c>
      <c r="L389" s="14">
        <v>0</v>
      </c>
      <c r="M389" s="8">
        <v>0</v>
      </c>
      <c r="N389" s="47"/>
      <c r="O389" s="53" t="s">
        <v>315</v>
      </c>
      <c r="P389" s="14">
        <f>D389-(F389+H389)*J389-M389-H389*L389</f>
        <v>130</v>
      </c>
      <c r="Q389" s="10">
        <f>P389-I389</f>
        <v>70</v>
      </c>
      <c r="R389" s="26">
        <f>(D389-P389)/D389</f>
        <v>0.97758620689655173</v>
      </c>
    </row>
    <row r="390" spans="1:18" ht="24.9" customHeight="1" x14ac:dyDescent="0.25">
      <c r="A390" s="47">
        <v>388</v>
      </c>
      <c r="B390" s="54" t="s">
        <v>383</v>
      </c>
      <c r="C390" s="48" t="s">
        <v>357</v>
      </c>
      <c r="D390" s="48">
        <v>5800</v>
      </c>
      <c r="E390" s="48" t="s">
        <v>250</v>
      </c>
      <c r="F390" s="47">
        <v>1128</v>
      </c>
      <c r="G390" s="47" t="s">
        <v>563</v>
      </c>
      <c r="H390" s="13">
        <v>3</v>
      </c>
      <c r="I390" s="13">
        <v>60</v>
      </c>
      <c r="J390" s="47">
        <v>5</v>
      </c>
      <c r="K390" s="52" t="s">
        <v>376</v>
      </c>
      <c r="L390" s="14">
        <v>0</v>
      </c>
      <c r="M390" s="8">
        <v>0</v>
      </c>
      <c r="N390" s="47"/>
      <c r="O390" s="53" t="s">
        <v>315</v>
      </c>
      <c r="P390" s="14">
        <f>D390-(F390+H390)*J390-M390-H390*L390</f>
        <v>145</v>
      </c>
      <c r="Q390" s="10">
        <f>P390-I390</f>
        <v>85</v>
      </c>
      <c r="R390" s="26">
        <f>(D390-P390)/D390</f>
        <v>0.97499999999999998</v>
      </c>
    </row>
    <row r="391" spans="1:18" ht="24.9" customHeight="1" x14ac:dyDescent="0.25">
      <c r="A391" s="47">
        <v>389</v>
      </c>
      <c r="B391" s="54" t="s">
        <v>384</v>
      </c>
      <c r="C391" s="48" t="s">
        <v>357</v>
      </c>
      <c r="D391" s="48">
        <v>6100</v>
      </c>
      <c r="E391" s="48" t="s">
        <v>250</v>
      </c>
      <c r="F391" s="47">
        <v>970</v>
      </c>
      <c r="G391" s="47" t="s">
        <v>563</v>
      </c>
      <c r="H391" s="13">
        <v>3</v>
      </c>
      <c r="I391" s="13">
        <v>60</v>
      </c>
      <c r="J391" s="47">
        <v>6</v>
      </c>
      <c r="K391" s="52" t="s">
        <v>376</v>
      </c>
      <c r="L391" s="14">
        <v>0</v>
      </c>
      <c r="M391" s="8">
        <v>0</v>
      </c>
      <c r="N391" s="47"/>
      <c r="O391" s="53" t="s">
        <v>315</v>
      </c>
      <c r="P391" s="14">
        <f>D391-(F391+H391)*J391-M391-H391*L391</f>
        <v>262</v>
      </c>
      <c r="Q391" s="10">
        <f>P391-I391</f>
        <v>202</v>
      </c>
      <c r="R391" s="26">
        <f>(D391-P391)/D391</f>
        <v>0.9570491803278689</v>
      </c>
    </row>
    <row r="392" spans="1:18" ht="24.9" customHeight="1" x14ac:dyDescent="0.25">
      <c r="A392" s="47">
        <v>390</v>
      </c>
      <c r="B392" s="54" t="s">
        <v>333</v>
      </c>
      <c r="C392" s="48" t="s">
        <v>357</v>
      </c>
      <c r="D392" s="48">
        <v>6100</v>
      </c>
      <c r="E392" s="48" t="s">
        <v>250</v>
      </c>
      <c r="F392" s="47">
        <v>1192</v>
      </c>
      <c r="G392" s="47" t="s">
        <v>563</v>
      </c>
      <c r="H392" s="13">
        <v>3</v>
      </c>
      <c r="I392" s="13">
        <v>60</v>
      </c>
      <c r="J392" s="47">
        <v>5</v>
      </c>
      <c r="K392" s="52" t="s">
        <v>376</v>
      </c>
      <c r="L392" s="14">
        <v>0</v>
      </c>
      <c r="M392" s="8">
        <v>0</v>
      </c>
      <c r="N392" s="47"/>
      <c r="O392" s="53" t="s">
        <v>315</v>
      </c>
      <c r="P392" s="14">
        <f>D392-(F392+H392)*J392-M392-H392*L392</f>
        <v>125</v>
      </c>
      <c r="Q392" s="10">
        <f>P392-I392</f>
        <v>65</v>
      </c>
      <c r="R392" s="26">
        <f>(D392-P392)/D392</f>
        <v>0.97950819672131151</v>
      </c>
    </row>
    <row r="393" spans="1:18" ht="24.9" customHeight="1" x14ac:dyDescent="0.25">
      <c r="A393" s="47">
        <v>391</v>
      </c>
      <c r="B393" s="54" t="s">
        <v>385</v>
      </c>
      <c r="C393" s="48" t="s">
        <v>357</v>
      </c>
      <c r="D393" s="48">
        <v>6100</v>
      </c>
      <c r="E393" s="48" t="s">
        <v>250</v>
      </c>
      <c r="F393" s="47">
        <v>1050</v>
      </c>
      <c r="G393" s="47" t="s">
        <v>563</v>
      </c>
      <c r="H393" s="47">
        <v>2</v>
      </c>
      <c r="I393" s="13">
        <v>60</v>
      </c>
      <c r="J393" s="47">
        <v>5</v>
      </c>
      <c r="K393" s="52" t="s">
        <v>377</v>
      </c>
      <c r="L393" s="52">
        <v>1</v>
      </c>
      <c r="M393" s="47">
        <v>560</v>
      </c>
      <c r="N393" s="47" t="s">
        <v>563</v>
      </c>
      <c r="O393" s="53" t="s">
        <v>315</v>
      </c>
      <c r="P393" s="14">
        <f>D393-(F393+H393)*J393-M393-H393*L393</f>
        <v>278</v>
      </c>
      <c r="Q393" s="10">
        <f>P393-I393</f>
        <v>218</v>
      </c>
      <c r="R393" s="26">
        <f>(D393-P393)/D393</f>
        <v>0.95442622950819667</v>
      </c>
    </row>
    <row r="394" spans="1:18" ht="24.9" customHeight="1" x14ac:dyDescent="0.25">
      <c r="A394" s="47">
        <v>392</v>
      </c>
      <c r="B394" s="54" t="s">
        <v>75</v>
      </c>
      <c r="C394" s="48" t="s">
        <v>357</v>
      </c>
      <c r="D394" s="48">
        <v>5800</v>
      </c>
      <c r="E394" s="48" t="s">
        <v>250</v>
      </c>
      <c r="F394" s="47">
        <v>1134</v>
      </c>
      <c r="G394" s="47" t="s">
        <v>563</v>
      </c>
      <c r="H394" s="13">
        <v>3</v>
      </c>
      <c r="I394" s="13">
        <v>60</v>
      </c>
      <c r="J394" s="47">
        <v>5</v>
      </c>
      <c r="K394" s="52" t="s">
        <v>376</v>
      </c>
      <c r="L394" s="14">
        <v>0</v>
      </c>
      <c r="M394" s="8">
        <v>0</v>
      </c>
      <c r="N394" s="47"/>
      <c r="O394" s="53" t="s">
        <v>315</v>
      </c>
      <c r="P394" s="14">
        <f>D394-(F394+H394)*J394-M394-H394*L394</f>
        <v>115</v>
      </c>
      <c r="Q394" s="10">
        <f>P394-I394</f>
        <v>55</v>
      </c>
      <c r="R394" s="26">
        <f>(D394-P394)/D394</f>
        <v>0.98017241379310349</v>
      </c>
    </row>
    <row r="395" spans="1:18" ht="24.9" customHeight="1" x14ac:dyDescent="0.25">
      <c r="A395" s="47">
        <v>393</v>
      </c>
      <c r="B395" s="54" t="s">
        <v>78</v>
      </c>
      <c r="C395" s="48" t="s">
        <v>357</v>
      </c>
      <c r="D395" s="48">
        <v>5800</v>
      </c>
      <c r="E395" s="48" t="s">
        <v>250</v>
      </c>
      <c r="F395" s="47">
        <v>1134</v>
      </c>
      <c r="G395" s="47" t="s">
        <v>563</v>
      </c>
      <c r="H395" s="13">
        <v>3</v>
      </c>
      <c r="I395" s="13">
        <v>60</v>
      </c>
      <c r="J395" s="47">
        <v>5</v>
      </c>
      <c r="K395" s="52" t="s">
        <v>376</v>
      </c>
      <c r="L395" s="14">
        <v>0</v>
      </c>
      <c r="M395" s="8">
        <v>0</v>
      </c>
      <c r="N395" s="47"/>
      <c r="O395" s="53" t="s">
        <v>315</v>
      </c>
      <c r="P395" s="14">
        <f>D395-(F395+H395)*J395-M395-H395*L395</f>
        <v>115</v>
      </c>
      <c r="Q395" s="10">
        <f>P395-I395</f>
        <v>55</v>
      </c>
      <c r="R395" s="26">
        <f>(D395-P395)/D395</f>
        <v>0.98017241379310349</v>
      </c>
    </row>
    <row r="396" spans="1:18" ht="24.9" customHeight="1" x14ac:dyDescent="0.25">
      <c r="A396" s="47">
        <v>394</v>
      </c>
      <c r="B396" s="54" t="s">
        <v>386</v>
      </c>
      <c r="C396" s="48" t="s">
        <v>357</v>
      </c>
      <c r="D396" s="48">
        <v>5800</v>
      </c>
      <c r="E396" s="48" t="s">
        <v>250</v>
      </c>
      <c r="F396" s="47">
        <v>1139</v>
      </c>
      <c r="G396" s="47" t="s">
        <v>563</v>
      </c>
      <c r="H396" s="13">
        <v>3</v>
      </c>
      <c r="I396" s="13">
        <v>60</v>
      </c>
      <c r="J396" s="47">
        <v>5</v>
      </c>
      <c r="K396" s="52" t="s">
        <v>376</v>
      </c>
      <c r="L396" s="14">
        <v>0</v>
      </c>
      <c r="M396" s="8">
        <v>0</v>
      </c>
      <c r="N396" s="47"/>
      <c r="O396" s="53" t="s">
        <v>315</v>
      </c>
      <c r="P396" s="14">
        <f>D396-(F396+H396)*J396-M396-H396*L396</f>
        <v>90</v>
      </c>
      <c r="Q396" s="10">
        <f>P396-I396</f>
        <v>30</v>
      </c>
      <c r="R396" s="26">
        <f>(D396-P396)/D396</f>
        <v>0.98448275862068968</v>
      </c>
    </row>
    <row r="397" spans="1:18" ht="24.9" customHeight="1" x14ac:dyDescent="0.25">
      <c r="A397" s="47">
        <v>395</v>
      </c>
      <c r="B397" s="54" t="s">
        <v>387</v>
      </c>
      <c r="C397" s="48" t="s">
        <v>357</v>
      </c>
      <c r="D397" s="48">
        <v>5800</v>
      </c>
      <c r="E397" s="48" t="s">
        <v>250</v>
      </c>
      <c r="F397" s="47">
        <v>1129</v>
      </c>
      <c r="G397" s="47" t="s">
        <v>563</v>
      </c>
      <c r="H397" s="13">
        <v>3</v>
      </c>
      <c r="I397" s="13">
        <v>60</v>
      </c>
      <c r="J397" s="47">
        <v>5</v>
      </c>
      <c r="K397" s="52" t="s">
        <v>376</v>
      </c>
      <c r="L397" s="14">
        <v>0</v>
      </c>
      <c r="M397" s="8">
        <v>0</v>
      </c>
      <c r="N397" s="47"/>
      <c r="O397" s="53" t="s">
        <v>315</v>
      </c>
      <c r="P397" s="14">
        <f>D397-(F397+H397)*J397-M397-H397*L397</f>
        <v>140</v>
      </c>
      <c r="Q397" s="10">
        <f>P397-I397</f>
        <v>80</v>
      </c>
      <c r="R397" s="26">
        <f>(D397-P397)/D397</f>
        <v>0.97586206896551719</v>
      </c>
    </row>
    <row r="398" spans="1:18" ht="24.9" customHeight="1" x14ac:dyDescent="0.25">
      <c r="A398" s="47">
        <v>396</v>
      </c>
      <c r="B398" s="54" t="s">
        <v>388</v>
      </c>
      <c r="C398" s="48" t="s">
        <v>357</v>
      </c>
      <c r="D398" s="48">
        <v>5800</v>
      </c>
      <c r="E398" s="48" t="s">
        <v>250</v>
      </c>
      <c r="F398" s="47">
        <v>1134</v>
      </c>
      <c r="G398" s="47" t="s">
        <v>563</v>
      </c>
      <c r="H398" s="13">
        <v>3</v>
      </c>
      <c r="I398" s="13">
        <v>60</v>
      </c>
      <c r="J398" s="47">
        <v>5</v>
      </c>
      <c r="K398" s="52" t="s">
        <v>376</v>
      </c>
      <c r="L398" s="14">
        <v>0</v>
      </c>
      <c r="M398" s="8">
        <v>0</v>
      </c>
      <c r="N398" s="47"/>
      <c r="O398" s="53" t="s">
        <v>315</v>
      </c>
      <c r="P398" s="14">
        <f>D398-(F398+H398)*J398-M398-H398*L398</f>
        <v>115</v>
      </c>
      <c r="Q398" s="10">
        <f>P398-I398</f>
        <v>55</v>
      </c>
      <c r="R398" s="26">
        <f>(D398-P398)/D398</f>
        <v>0.98017241379310349</v>
      </c>
    </row>
    <row r="399" spans="1:18" ht="24.9" customHeight="1" x14ac:dyDescent="0.25">
      <c r="A399" s="47">
        <v>397</v>
      </c>
      <c r="B399" s="54" t="s">
        <v>392</v>
      </c>
      <c r="C399" s="48" t="s">
        <v>357</v>
      </c>
      <c r="D399" s="48">
        <v>5800</v>
      </c>
      <c r="E399" s="48" t="s">
        <v>250</v>
      </c>
      <c r="F399" s="47">
        <v>1114</v>
      </c>
      <c r="G399" s="47" t="s">
        <v>563</v>
      </c>
      <c r="H399" s="13">
        <v>3</v>
      </c>
      <c r="I399" s="13">
        <v>60</v>
      </c>
      <c r="J399" s="47">
        <v>5</v>
      </c>
      <c r="K399" s="52" t="s">
        <v>376</v>
      </c>
      <c r="L399" s="14">
        <v>0</v>
      </c>
      <c r="M399" s="8">
        <v>0</v>
      </c>
      <c r="N399" s="47"/>
      <c r="O399" s="53" t="s">
        <v>315</v>
      </c>
      <c r="P399" s="14">
        <f>D399-(F399+H399)*J399-M399-H399*L399</f>
        <v>215</v>
      </c>
      <c r="Q399" s="10">
        <f>P399-I399</f>
        <v>155</v>
      </c>
      <c r="R399" s="26">
        <f>(D399-P399)/D399</f>
        <v>0.96293103448275863</v>
      </c>
    </row>
    <row r="400" spans="1:18" ht="24.9" customHeight="1" x14ac:dyDescent="0.25">
      <c r="A400" s="47">
        <v>398</v>
      </c>
      <c r="B400" s="58" t="s">
        <v>390</v>
      </c>
      <c r="C400" s="48" t="s">
        <v>357</v>
      </c>
      <c r="D400" s="48">
        <v>6100</v>
      </c>
      <c r="E400" s="48" t="s">
        <v>250</v>
      </c>
      <c r="F400" s="49">
        <v>1169</v>
      </c>
      <c r="G400" s="49" t="s">
        <v>563</v>
      </c>
      <c r="H400" s="13">
        <v>3</v>
      </c>
      <c r="I400" s="13">
        <v>60</v>
      </c>
      <c r="J400" s="47">
        <v>5</v>
      </c>
      <c r="K400" s="51" t="s">
        <v>376</v>
      </c>
      <c r="L400" s="14">
        <v>0</v>
      </c>
      <c r="M400" s="8">
        <v>0</v>
      </c>
      <c r="N400" s="47"/>
      <c r="O400" s="53" t="s">
        <v>106</v>
      </c>
      <c r="P400" s="14">
        <f>D400-(F400+H400)*J400-M400-H400*L400</f>
        <v>240</v>
      </c>
      <c r="Q400" s="10">
        <f>P400-I400</f>
        <v>180</v>
      </c>
      <c r="R400" s="26">
        <f>(D400-P400)/D400</f>
        <v>0.96065573770491808</v>
      </c>
    </row>
    <row r="401" spans="1:18" ht="24.9" customHeight="1" x14ac:dyDescent="0.25">
      <c r="A401" s="47">
        <v>399</v>
      </c>
      <c r="B401" s="58" t="s">
        <v>391</v>
      </c>
      <c r="C401" s="48" t="s">
        <v>357</v>
      </c>
      <c r="D401" s="48">
        <v>6100</v>
      </c>
      <c r="E401" s="48" t="s">
        <v>250</v>
      </c>
      <c r="F401" s="49">
        <v>1169</v>
      </c>
      <c r="G401" s="49" t="s">
        <v>563</v>
      </c>
      <c r="H401" s="13">
        <v>3</v>
      </c>
      <c r="I401" s="13">
        <v>60</v>
      </c>
      <c r="J401" s="47">
        <v>5</v>
      </c>
      <c r="K401" s="51" t="s">
        <v>376</v>
      </c>
      <c r="L401" s="14">
        <v>0</v>
      </c>
      <c r="M401" s="8">
        <v>0</v>
      </c>
      <c r="N401" s="47"/>
      <c r="O401" s="53" t="s">
        <v>106</v>
      </c>
      <c r="P401" s="14">
        <f>D401-(F401+H401)*J401-M401-H401*L401</f>
        <v>240</v>
      </c>
      <c r="Q401" s="10">
        <f>P401-I401</f>
        <v>180</v>
      </c>
      <c r="R401" s="26">
        <f>(D401-P401)/D401</f>
        <v>0.96065573770491808</v>
      </c>
    </row>
    <row r="402" spans="1:18" ht="24.9" customHeight="1" x14ac:dyDescent="0.25">
      <c r="A402" s="47">
        <v>400</v>
      </c>
      <c r="B402" s="54" t="s">
        <v>395</v>
      </c>
      <c r="C402" s="48" t="s">
        <v>357</v>
      </c>
      <c r="D402" s="48">
        <v>5800</v>
      </c>
      <c r="E402" s="48" t="s">
        <v>250</v>
      </c>
      <c r="F402" s="47">
        <v>1139</v>
      </c>
      <c r="G402" s="47" t="s">
        <v>563</v>
      </c>
      <c r="H402" s="13">
        <v>3</v>
      </c>
      <c r="I402" s="13">
        <v>60</v>
      </c>
      <c r="J402" s="47">
        <v>5</v>
      </c>
      <c r="K402" s="52" t="s">
        <v>376</v>
      </c>
      <c r="L402" s="14">
        <v>0</v>
      </c>
      <c r="M402" s="8">
        <v>0</v>
      </c>
      <c r="N402" s="47"/>
      <c r="O402" s="53" t="s">
        <v>315</v>
      </c>
      <c r="P402" s="14">
        <f>D402-(F402+H402)*J402-M402-H402*L402</f>
        <v>90</v>
      </c>
      <c r="Q402" s="10">
        <f>P402-I402</f>
        <v>30</v>
      </c>
      <c r="R402" s="26">
        <f>(D402-P402)/D402</f>
        <v>0.98448275862068968</v>
      </c>
    </row>
    <row r="403" spans="1:18" ht="24.9" customHeight="1" x14ac:dyDescent="0.25">
      <c r="A403" s="47">
        <v>401</v>
      </c>
      <c r="B403" s="54" t="s">
        <v>396</v>
      </c>
      <c r="C403" s="48" t="s">
        <v>357</v>
      </c>
      <c r="D403" s="48">
        <v>6100</v>
      </c>
      <c r="E403" s="48" t="s">
        <v>250</v>
      </c>
      <c r="F403" s="47">
        <v>1149</v>
      </c>
      <c r="G403" s="47" t="s">
        <v>563</v>
      </c>
      <c r="H403" s="13">
        <v>3</v>
      </c>
      <c r="I403" s="13">
        <v>60</v>
      </c>
      <c r="J403" s="47">
        <v>5</v>
      </c>
      <c r="K403" s="52" t="s">
        <v>376</v>
      </c>
      <c r="L403" s="14">
        <v>0</v>
      </c>
      <c r="M403" s="8">
        <v>0</v>
      </c>
      <c r="N403" s="47"/>
      <c r="O403" s="53" t="s">
        <v>315</v>
      </c>
      <c r="P403" s="14">
        <f>D403-(F403+H403)*J403-M403-H403*L403</f>
        <v>340</v>
      </c>
      <c r="Q403" s="10">
        <f>P403-I403</f>
        <v>280</v>
      </c>
      <c r="R403" s="26">
        <f>(D403-P403)/D403</f>
        <v>0.94426229508196724</v>
      </c>
    </row>
    <row r="404" spans="1:18" ht="24.9" customHeight="1" x14ac:dyDescent="0.25">
      <c r="A404" s="47">
        <v>402</v>
      </c>
      <c r="B404" s="58" t="s">
        <v>397</v>
      </c>
      <c r="C404" s="48" t="s">
        <v>357</v>
      </c>
      <c r="D404" s="48">
        <v>6100</v>
      </c>
      <c r="E404" s="48" t="s">
        <v>250</v>
      </c>
      <c r="F404" s="47">
        <v>1189</v>
      </c>
      <c r="G404" s="47" t="s">
        <v>563</v>
      </c>
      <c r="H404" s="13">
        <v>3</v>
      </c>
      <c r="I404" s="13">
        <v>60</v>
      </c>
      <c r="J404" s="47">
        <v>5</v>
      </c>
      <c r="K404" s="52" t="s">
        <v>376</v>
      </c>
      <c r="L404" s="14">
        <v>0</v>
      </c>
      <c r="M404" s="8">
        <v>0</v>
      </c>
      <c r="N404" s="47"/>
      <c r="O404" s="53" t="s">
        <v>315</v>
      </c>
      <c r="P404" s="14">
        <f>D404-(F404+H404)*J404-M404-H404*L404</f>
        <v>140</v>
      </c>
      <c r="Q404" s="10">
        <f>P404-I404</f>
        <v>80</v>
      </c>
      <c r="R404" s="26">
        <f>(D404-P404)/D404</f>
        <v>0.9770491803278688</v>
      </c>
    </row>
    <row r="405" spans="1:18" ht="24.9" customHeight="1" x14ac:dyDescent="0.25">
      <c r="A405" s="47">
        <v>403</v>
      </c>
      <c r="B405" s="54" t="s">
        <v>398</v>
      </c>
      <c r="C405" s="48" t="s">
        <v>357</v>
      </c>
      <c r="D405" s="48">
        <v>6100</v>
      </c>
      <c r="E405" s="48" t="s">
        <v>250</v>
      </c>
      <c r="F405" s="47">
        <v>1161</v>
      </c>
      <c r="G405" s="47" t="s">
        <v>563</v>
      </c>
      <c r="H405" s="13">
        <v>3</v>
      </c>
      <c r="I405" s="13">
        <v>60</v>
      </c>
      <c r="J405" s="47">
        <v>5</v>
      </c>
      <c r="K405" s="52" t="s">
        <v>376</v>
      </c>
      <c r="L405" s="14">
        <v>0</v>
      </c>
      <c r="M405" s="8">
        <v>0</v>
      </c>
      <c r="N405" s="47"/>
      <c r="O405" s="53" t="s">
        <v>315</v>
      </c>
      <c r="P405" s="14">
        <f>D405-(F405+H405)*J405-M405-H405*L405</f>
        <v>280</v>
      </c>
      <c r="Q405" s="10">
        <f>P405-I405</f>
        <v>220</v>
      </c>
      <c r="R405" s="26">
        <f>(D405-P405)/D405</f>
        <v>0.95409836065573772</v>
      </c>
    </row>
    <row r="406" spans="1:18" ht="24.9" customHeight="1" x14ac:dyDescent="0.25">
      <c r="A406" s="47">
        <v>404</v>
      </c>
      <c r="B406" s="54" t="s">
        <v>399</v>
      </c>
      <c r="C406" s="48" t="s">
        <v>555</v>
      </c>
      <c r="D406" s="48">
        <v>5500</v>
      </c>
      <c r="E406" s="48" t="s">
        <v>250</v>
      </c>
      <c r="F406" s="49">
        <v>1068</v>
      </c>
      <c r="G406" s="49" t="s">
        <v>563</v>
      </c>
      <c r="H406" s="13">
        <v>2</v>
      </c>
      <c r="I406" s="13">
        <v>60</v>
      </c>
      <c r="J406" s="47">
        <v>5</v>
      </c>
      <c r="K406" s="51" t="s">
        <v>251</v>
      </c>
      <c r="L406" s="14">
        <v>0</v>
      </c>
      <c r="M406" s="8">
        <v>0</v>
      </c>
      <c r="N406" s="47"/>
      <c r="O406" s="53" t="s">
        <v>315</v>
      </c>
      <c r="P406" s="14">
        <f>D406-(F406+H406)*J406-M406-H406*L406</f>
        <v>150</v>
      </c>
      <c r="Q406" s="10">
        <f>P406-I406</f>
        <v>90</v>
      </c>
      <c r="R406" s="26">
        <f>(D406-P406)/D406</f>
        <v>0.97272727272727277</v>
      </c>
    </row>
    <row r="407" spans="1:18" ht="24.9" customHeight="1" x14ac:dyDescent="0.25">
      <c r="A407" s="47">
        <v>405</v>
      </c>
      <c r="B407" s="54" t="s">
        <v>400</v>
      </c>
      <c r="C407" s="48" t="s">
        <v>555</v>
      </c>
      <c r="D407" s="48">
        <v>5500</v>
      </c>
      <c r="E407" s="48" t="s">
        <v>250</v>
      </c>
      <c r="F407" s="49">
        <v>1068</v>
      </c>
      <c r="G407" s="49" t="s">
        <v>563</v>
      </c>
      <c r="H407" s="13">
        <v>2</v>
      </c>
      <c r="I407" s="13">
        <v>60</v>
      </c>
      <c r="J407" s="47">
        <v>5</v>
      </c>
      <c r="K407" s="51" t="s">
        <v>251</v>
      </c>
      <c r="L407" s="14">
        <v>0</v>
      </c>
      <c r="M407" s="8">
        <v>0</v>
      </c>
      <c r="N407" s="47"/>
      <c r="O407" s="53" t="s">
        <v>315</v>
      </c>
      <c r="P407" s="14">
        <f>D407-(F407+H407)*J407-M407-H407*L407</f>
        <v>150</v>
      </c>
      <c r="Q407" s="10">
        <f>P407-I407</f>
        <v>90</v>
      </c>
      <c r="R407" s="26">
        <f>(D407-P407)/D407</f>
        <v>0.97272727272727277</v>
      </c>
    </row>
    <row r="408" spans="1:18" ht="24.9" customHeight="1" x14ac:dyDescent="0.25">
      <c r="A408" s="47">
        <v>406</v>
      </c>
      <c r="B408" s="54" t="s">
        <v>401</v>
      </c>
      <c r="C408" s="48" t="s">
        <v>555</v>
      </c>
      <c r="D408" s="48">
        <v>5500</v>
      </c>
      <c r="E408" s="48" t="s">
        <v>250</v>
      </c>
      <c r="F408" s="49">
        <v>1068</v>
      </c>
      <c r="G408" s="49" t="s">
        <v>563</v>
      </c>
      <c r="H408" s="13">
        <v>2</v>
      </c>
      <c r="I408" s="13">
        <v>60</v>
      </c>
      <c r="J408" s="47">
        <v>5</v>
      </c>
      <c r="K408" s="51" t="s">
        <v>251</v>
      </c>
      <c r="L408" s="14">
        <v>0</v>
      </c>
      <c r="M408" s="8">
        <v>0</v>
      </c>
      <c r="N408" s="47"/>
      <c r="O408" s="53" t="s">
        <v>315</v>
      </c>
      <c r="P408" s="14">
        <f>D408-(F408+H408)*J408-M408-H408*L408</f>
        <v>150</v>
      </c>
      <c r="Q408" s="10">
        <f>P408-I408</f>
        <v>90</v>
      </c>
      <c r="R408" s="26">
        <f>(D408-P408)/D408</f>
        <v>0.97272727272727277</v>
      </c>
    </row>
    <row r="409" spans="1:18" ht="24.9" customHeight="1" x14ac:dyDescent="0.25">
      <c r="A409" s="47">
        <v>407</v>
      </c>
      <c r="B409" s="54" t="s">
        <v>402</v>
      </c>
      <c r="C409" s="48" t="s">
        <v>555</v>
      </c>
      <c r="D409" s="48">
        <v>6200</v>
      </c>
      <c r="E409" s="48" t="s">
        <v>250</v>
      </c>
      <c r="F409" s="49">
        <v>1168</v>
      </c>
      <c r="G409" s="49" t="s">
        <v>563</v>
      </c>
      <c r="H409" s="13">
        <v>2</v>
      </c>
      <c r="I409" s="13">
        <v>60</v>
      </c>
      <c r="J409" s="47">
        <v>5</v>
      </c>
      <c r="K409" s="51" t="s">
        <v>251</v>
      </c>
      <c r="L409" s="14">
        <v>0</v>
      </c>
      <c r="M409" s="8">
        <v>0</v>
      </c>
      <c r="N409" s="47"/>
      <c r="O409" s="53" t="s">
        <v>315</v>
      </c>
      <c r="P409" s="14">
        <f>D409-(F409+H409)*J409-M409-H409*L409</f>
        <v>350</v>
      </c>
      <c r="Q409" s="10">
        <f>P409-I409</f>
        <v>290</v>
      </c>
      <c r="R409" s="26">
        <f>(D409-P409)/D409</f>
        <v>0.94354838709677424</v>
      </c>
    </row>
    <row r="410" spans="1:18" ht="24.9" customHeight="1" x14ac:dyDescent="0.25">
      <c r="A410" s="8">
        <v>408</v>
      </c>
      <c r="B410" s="6" t="s">
        <v>403</v>
      </c>
      <c r="C410" s="21" t="s">
        <v>357</v>
      </c>
      <c r="D410" s="21">
        <v>6300</v>
      </c>
      <c r="E410" s="21" t="s">
        <v>250</v>
      </c>
      <c r="F410" s="13">
        <v>677.5</v>
      </c>
      <c r="G410" s="13" t="s">
        <v>563</v>
      </c>
      <c r="H410" s="13">
        <v>3</v>
      </c>
      <c r="I410" s="13">
        <v>60</v>
      </c>
      <c r="J410" s="8">
        <v>9</v>
      </c>
      <c r="K410" s="14" t="s">
        <v>251</v>
      </c>
      <c r="L410" s="14">
        <v>0</v>
      </c>
      <c r="M410" s="8">
        <v>0</v>
      </c>
      <c r="N410" s="8"/>
      <c r="O410" s="23" t="s">
        <v>22</v>
      </c>
      <c r="P410" s="14">
        <f>D410-(F410+H410)*J410-M410-H410*L410</f>
        <v>175.5</v>
      </c>
      <c r="Q410" s="10">
        <f>P410-I410</f>
        <v>115.5</v>
      </c>
      <c r="R410" s="26">
        <f>(D410-P410)/D410</f>
        <v>0.9721428571428572</v>
      </c>
    </row>
    <row r="411" spans="1:18" ht="24.9" customHeight="1" x14ac:dyDescent="0.25">
      <c r="A411" s="8">
        <v>409</v>
      </c>
      <c r="B411" s="6" t="s">
        <v>476</v>
      </c>
      <c r="C411" s="21" t="s">
        <v>357</v>
      </c>
      <c r="D411" s="21">
        <v>5800</v>
      </c>
      <c r="E411" s="21" t="s">
        <v>250</v>
      </c>
      <c r="F411" s="8">
        <v>1430</v>
      </c>
      <c r="G411" s="8" t="s">
        <v>563</v>
      </c>
      <c r="H411" s="13">
        <v>3</v>
      </c>
      <c r="I411" s="13">
        <v>60</v>
      </c>
      <c r="J411" s="8">
        <v>4</v>
      </c>
      <c r="K411" s="10" t="s">
        <v>286</v>
      </c>
      <c r="L411" s="14">
        <v>0</v>
      </c>
      <c r="M411" s="8">
        <v>0</v>
      </c>
      <c r="N411" s="8"/>
      <c r="O411" s="23" t="s">
        <v>511</v>
      </c>
      <c r="P411" s="14">
        <f>D411-(F411+H411)*J411-M411-H411*L411</f>
        <v>68</v>
      </c>
      <c r="Q411" s="10">
        <f>P411-I411</f>
        <v>8</v>
      </c>
      <c r="R411" s="26">
        <f>(D411-P411)/D411</f>
        <v>0.98827586206896556</v>
      </c>
    </row>
    <row r="412" spans="1:18" ht="24.9" customHeight="1" x14ac:dyDescent="0.25">
      <c r="A412" s="8">
        <v>410</v>
      </c>
      <c r="B412" s="6" t="s">
        <v>477</v>
      </c>
      <c r="C412" s="21" t="s">
        <v>357</v>
      </c>
      <c r="D412" s="21">
        <v>6100</v>
      </c>
      <c r="E412" s="21" t="s">
        <v>250</v>
      </c>
      <c r="F412" s="8">
        <v>1165</v>
      </c>
      <c r="G412" s="8" t="s">
        <v>563</v>
      </c>
      <c r="H412" s="13">
        <v>3</v>
      </c>
      <c r="I412" s="13">
        <v>60</v>
      </c>
      <c r="J412" s="8">
        <v>5</v>
      </c>
      <c r="K412" s="10" t="s">
        <v>286</v>
      </c>
      <c r="L412" s="14">
        <v>0</v>
      </c>
      <c r="M412" s="8">
        <v>0</v>
      </c>
      <c r="N412" s="8"/>
      <c r="O412" s="23" t="s">
        <v>511</v>
      </c>
      <c r="P412" s="14">
        <f>D412-(F412+H412)*J412-M412-H412*L412</f>
        <v>260</v>
      </c>
      <c r="Q412" s="10">
        <f>P412-I412</f>
        <v>200</v>
      </c>
      <c r="R412" s="26">
        <f>(D412-P412)/D412</f>
        <v>0.95737704918032784</v>
      </c>
    </row>
    <row r="413" spans="1:18" ht="24.9" customHeight="1" x14ac:dyDescent="0.25">
      <c r="A413" s="8">
        <v>411</v>
      </c>
      <c r="B413" s="6" t="s">
        <v>404</v>
      </c>
      <c r="C413" s="21" t="s">
        <v>358</v>
      </c>
      <c r="D413" s="21">
        <v>6300</v>
      </c>
      <c r="E413" s="13" t="s">
        <v>261</v>
      </c>
      <c r="F413" s="8">
        <v>1030</v>
      </c>
      <c r="G413" s="8" t="s">
        <v>563</v>
      </c>
      <c r="H413" s="13">
        <v>3</v>
      </c>
      <c r="I413" s="13">
        <v>60</v>
      </c>
      <c r="J413" s="8">
        <v>6</v>
      </c>
      <c r="K413" s="14" t="s">
        <v>251</v>
      </c>
      <c r="L413" s="14">
        <v>0</v>
      </c>
      <c r="M413" s="8">
        <v>0</v>
      </c>
      <c r="N413" s="8"/>
      <c r="O413" s="23"/>
      <c r="P413" s="14">
        <f>D413-(F413+H413)*J413-M413-H413*L413</f>
        <v>102</v>
      </c>
      <c r="Q413" s="10">
        <f>P413-I413</f>
        <v>42</v>
      </c>
      <c r="R413" s="26">
        <f>(D413-P413)/D413</f>
        <v>0.9838095238095238</v>
      </c>
    </row>
    <row r="414" spans="1:18" ht="24.9" customHeight="1" x14ac:dyDescent="0.25">
      <c r="A414" s="8">
        <v>412</v>
      </c>
      <c r="B414" s="6" t="s">
        <v>405</v>
      </c>
      <c r="C414" s="21" t="s">
        <v>358</v>
      </c>
      <c r="D414" s="21">
        <v>6300</v>
      </c>
      <c r="E414" s="13" t="s">
        <v>261</v>
      </c>
      <c r="F414" s="8">
        <v>1230</v>
      </c>
      <c r="G414" s="8" t="s">
        <v>563</v>
      </c>
      <c r="H414" s="13">
        <v>3</v>
      </c>
      <c r="I414" s="13">
        <v>60</v>
      </c>
      <c r="J414" s="8">
        <v>5</v>
      </c>
      <c r="K414" s="14" t="s">
        <v>251</v>
      </c>
      <c r="L414" s="14">
        <v>0</v>
      </c>
      <c r="M414" s="8">
        <v>0</v>
      </c>
      <c r="N414" s="8"/>
      <c r="O414" s="23"/>
      <c r="P414" s="14">
        <f>D414-(F414+H414)*J414-M414-H414*L414</f>
        <v>135</v>
      </c>
      <c r="Q414" s="10">
        <f>P414-I414</f>
        <v>75</v>
      </c>
      <c r="R414" s="26">
        <f>(D414-P414)/D414</f>
        <v>0.97857142857142854</v>
      </c>
    </row>
    <row r="415" spans="1:18" ht="24.9" customHeight="1" x14ac:dyDescent="0.25">
      <c r="A415" s="8">
        <v>413</v>
      </c>
      <c r="B415" s="6" t="s">
        <v>409</v>
      </c>
      <c r="C415" s="21" t="s">
        <v>357</v>
      </c>
      <c r="D415" s="21">
        <v>6100</v>
      </c>
      <c r="E415" s="21" t="s">
        <v>250</v>
      </c>
      <c r="F415" s="13">
        <v>826</v>
      </c>
      <c r="G415" s="13" t="s">
        <v>563</v>
      </c>
      <c r="H415" s="13">
        <v>3</v>
      </c>
      <c r="I415" s="13">
        <v>60</v>
      </c>
      <c r="J415" s="8">
        <v>7</v>
      </c>
      <c r="K415" s="14" t="s">
        <v>251</v>
      </c>
      <c r="L415" s="14">
        <v>0</v>
      </c>
      <c r="M415" s="8">
        <v>0</v>
      </c>
      <c r="N415" s="8"/>
      <c r="O415" s="23" t="s">
        <v>22</v>
      </c>
      <c r="P415" s="14">
        <f>D415-(F415+H415)*J415-M415-H415*L415</f>
        <v>297</v>
      </c>
      <c r="Q415" s="10">
        <f>P415-I415</f>
        <v>237</v>
      </c>
      <c r="R415" s="26">
        <f>(D415-P415)/D415</f>
        <v>0.95131147540983607</v>
      </c>
    </row>
    <row r="416" spans="1:18" ht="24.9" customHeight="1" x14ac:dyDescent="0.25">
      <c r="A416" s="47">
        <v>414</v>
      </c>
      <c r="B416" s="54" t="s">
        <v>410</v>
      </c>
      <c r="C416" s="48" t="s">
        <v>357</v>
      </c>
      <c r="D416" s="48">
        <v>6300</v>
      </c>
      <c r="E416" s="48" t="s">
        <v>250</v>
      </c>
      <c r="F416" s="49">
        <v>1229</v>
      </c>
      <c r="G416" s="49" t="s">
        <v>563</v>
      </c>
      <c r="H416" s="13">
        <v>2</v>
      </c>
      <c r="I416" s="13">
        <v>60</v>
      </c>
      <c r="J416" s="47">
        <v>5</v>
      </c>
      <c r="K416" s="51" t="s">
        <v>251</v>
      </c>
      <c r="L416" s="14">
        <v>0</v>
      </c>
      <c r="M416" s="8">
        <v>0</v>
      </c>
      <c r="N416" s="47"/>
      <c r="O416" s="53" t="s">
        <v>106</v>
      </c>
      <c r="P416" s="14">
        <f>D416-(F416+H416)*J416-M416-H416*L416</f>
        <v>145</v>
      </c>
      <c r="Q416" s="10">
        <f>P416-I416</f>
        <v>85</v>
      </c>
      <c r="R416" s="26">
        <f>(D416-P416)/D416</f>
        <v>0.97698412698412695</v>
      </c>
    </row>
    <row r="417" spans="1:19" ht="24.9" customHeight="1" x14ac:dyDescent="0.25">
      <c r="A417" s="8">
        <v>415</v>
      </c>
      <c r="B417" s="6" t="s">
        <v>410</v>
      </c>
      <c r="C417" s="21" t="s">
        <v>358</v>
      </c>
      <c r="D417" s="21">
        <v>5900</v>
      </c>
      <c r="E417" s="21" t="s">
        <v>250</v>
      </c>
      <c r="F417" s="13">
        <v>1195</v>
      </c>
      <c r="G417" s="13" t="s">
        <v>563</v>
      </c>
      <c r="H417" s="13">
        <v>2</v>
      </c>
      <c r="I417" s="13">
        <v>60</v>
      </c>
      <c r="J417" s="8">
        <v>3</v>
      </c>
      <c r="K417" s="14" t="s">
        <v>559</v>
      </c>
      <c r="L417" s="14">
        <v>2</v>
      </c>
      <c r="M417" s="8">
        <v>1080</v>
      </c>
      <c r="N417" s="8" t="s">
        <v>563</v>
      </c>
      <c r="O417" s="23"/>
      <c r="P417" s="14">
        <f>D417-(F417+H417)*J417-M417-H417*L417</f>
        <v>1225</v>
      </c>
      <c r="Q417" s="10">
        <f>P417-I417</f>
        <v>1165</v>
      </c>
      <c r="R417" s="26">
        <f>(D417-P417)/D417</f>
        <v>0.7923728813559322</v>
      </c>
      <c r="S417" s="7" t="s">
        <v>507</v>
      </c>
    </row>
    <row r="418" spans="1:19" ht="24.9" customHeight="1" x14ac:dyDescent="0.25">
      <c r="A418" s="8">
        <v>416</v>
      </c>
      <c r="B418" s="9" t="s">
        <v>415</v>
      </c>
      <c r="C418" s="21" t="s">
        <v>359</v>
      </c>
      <c r="D418" s="21">
        <v>6500</v>
      </c>
      <c r="E418" s="21" t="s">
        <v>250</v>
      </c>
      <c r="F418" s="8">
        <v>1085</v>
      </c>
      <c r="G418" s="8" t="s">
        <v>563</v>
      </c>
      <c r="H418" s="13">
        <v>3</v>
      </c>
      <c r="I418" s="13">
        <v>60</v>
      </c>
      <c r="J418" s="8">
        <v>5</v>
      </c>
      <c r="K418" s="14" t="s">
        <v>251</v>
      </c>
      <c r="L418" s="14">
        <v>0</v>
      </c>
      <c r="M418" s="8">
        <v>0</v>
      </c>
      <c r="N418" s="8"/>
      <c r="O418" s="23"/>
      <c r="P418" s="14">
        <f>D418-(F418+H418)*J418-M418-H418*L418</f>
        <v>1060</v>
      </c>
      <c r="Q418" s="10">
        <f>P418-I418</f>
        <v>1000</v>
      </c>
      <c r="R418" s="26">
        <f>(D418-P418)/D418</f>
        <v>0.83692307692307688</v>
      </c>
    </row>
    <row r="419" spans="1:19" ht="24.9" customHeight="1" x14ac:dyDescent="0.25">
      <c r="A419" s="47">
        <v>417</v>
      </c>
      <c r="B419" s="54" t="s">
        <v>416</v>
      </c>
      <c r="C419" s="48" t="s">
        <v>357</v>
      </c>
      <c r="D419" s="48">
        <v>6100</v>
      </c>
      <c r="E419" s="48" t="s">
        <v>250</v>
      </c>
      <c r="F419" s="47">
        <v>1047</v>
      </c>
      <c r="G419" s="47" t="s">
        <v>563</v>
      </c>
      <c r="H419" s="47">
        <v>2</v>
      </c>
      <c r="I419" s="13">
        <v>60</v>
      </c>
      <c r="J419" s="47">
        <v>5</v>
      </c>
      <c r="K419" s="52" t="s">
        <v>377</v>
      </c>
      <c r="L419" s="52">
        <v>1</v>
      </c>
      <c r="M419" s="47">
        <v>560</v>
      </c>
      <c r="N419" s="47" t="s">
        <v>563</v>
      </c>
      <c r="O419" s="53" t="s">
        <v>315</v>
      </c>
      <c r="P419" s="14">
        <f>D419-(F419+H419)*J419-M419-H419*L419</f>
        <v>293</v>
      </c>
      <c r="Q419" s="10">
        <f>P419-I419</f>
        <v>233</v>
      </c>
      <c r="R419" s="26">
        <f>(D419-P419)/D419</f>
        <v>0.95196721311475407</v>
      </c>
    </row>
    <row r="420" spans="1:19" ht="24.9" customHeight="1" x14ac:dyDescent="0.25">
      <c r="A420" s="47">
        <v>418</v>
      </c>
      <c r="B420" s="54" t="s">
        <v>417</v>
      </c>
      <c r="C420" s="48" t="s">
        <v>357</v>
      </c>
      <c r="D420" s="48">
        <v>6100</v>
      </c>
      <c r="E420" s="48" t="s">
        <v>250</v>
      </c>
      <c r="F420" s="47">
        <v>1068</v>
      </c>
      <c r="G420" s="47" t="s">
        <v>563</v>
      </c>
      <c r="H420" s="47">
        <v>2</v>
      </c>
      <c r="I420" s="13">
        <v>60</v>
      </c>
      <c r="J420" s="47">
        <v>5</v>
      </c>
      <c r="K420" s="52" t="s">
        <v>377</v>
      </c>
      <c r="L420" s="52">
        <v>1</v>
      </c>
      <c r="M420" s="47">
        <v>560</v>
      </c>
      <c r="N420" s="47" t="s">
        <v>563</v>
      </c>
      <c r="O420" s="53" t="s">
        <v>315</v>
      </c>
      <c r="P420" s="14">
        <f>D420-(F420+H420)*J420-M420-H420*L420</f>
        <v>188</v>
      </c>
      <c r="Q420" s="10">
        <f>P420-I420</f>
        <v>128</v>
      </c>
      <c r="R420" s="26">
        <f>(D420-P420)/D420</f>
        <v>0.96918032786885244</v>
      </c>
    </row>
    <row r="421" spans="1:19" ht="24.9" customHeight="1" x14ac:dyDescent="0.25">
      <c r="A421" s="8">
        <v>419</v>
      </c>
      <c r="B421" s="6" t="s">
        <v>418</v>
      </c>
      <c r="C421" s="21" t="s">
        <v>357</v>
      </c>
      <c r="D421" s="21">
        <v>5800</v>
      </c>
      <c r="E421" s="21" t="s">
        <v>250</v>
      </c>
      <c r="F421" s="8">
        <v>1101</v>
      </c>
      <c r="G421" s="8" t="s">
        <v>563</v>
      </c>
      <c r="H421" s="13">
        <v>2</v>
      </c>
      <c r="I421" s="13">
        <v>60</v>
      </c>
      <c r="J421" s="8">
        <v>5</v>
      </c>
      <c r="K421" s="10" t="s">
        <v>419</v>
      </c>
      <c r="L421" s="14">
        <v>0</v>
      </c>
      <c r="M421" s="8">
        <v>0</v>
      </c>
      <c r="N421" s="8"/>
      <c r="O421" s="23"/>
      <c r="P421" s="14">
        <f>D421-(F421+H421)*J421-M421-H421*L421</f>
        <v>285</v>
      </c>
      <c r="Q421" s="10">
        <f>P421-I421</f>
        <v>225</v>
      </c>
      <c r="R421" s="26">
        <f>(D421-P421)/D421</f>
        <v>0.95086206896551728</v>
      </c>
    </row>
    <row r="422" spans="1:19" ht="24.9" customHeight="1" x14ac:dyDescent="0.25">
      <c r="A422" s="47">
        <v>420</v>
      </c>
      <c r="B422" s="54" t="s">
        <v>420</v>
      </c>
      <c r="C422" s="48" t="s">
        <v>357</v>
      </c>
      <c r="D422" s="48">
        <v>6100</v>
      </c>
      <c r="E422" s="48" t="s">
        <v>250</v>
      </c>
      <c r="F422" s="47">
        <v>1060</v>
      </c>
      <c r="G422" s="47" t="s">
        <v>563</v>
      </c>
      <c r="H422" s="47">
        <v>2</v>
      </c>
      <c r="I422" s="13">
        <v>60</v>
      </c>
      <c r="J422" s="47">
        <v>5</v>
      </c>
      <c r="K422" s="52" t="s">
        <v>377</v>
      </c>
      <c r="L422" s="52">
        <v>1</v>
      </c>
      <c r="M422" s="47">
        <v>560</v>
      </c>
      <c r="N422" s="47" t="s">
        <v>563</v>
      </c>
      <c r="O422" s="53" t="s">
        <v>315</v>
      </c>
      <c r="P422" s="14">
        <f>D422-(F422+H422)*J422-M422-H422*L422</f>
        <v>228</v>
      </c>
      <c r="Q422" s="10">
        <f>P422-I422</f>
        <v>168</v>
      </c>
      <c r="R422" s="26">
        <f>(D422-P422)/D422</f>
        <v>0.96262295081967209</v>
      </c>
    </row>
    <row r="423" spans="1:19" ht="24.9" customHeight="1" x14ac:dyDescent="0.25">
      <c r="A423" s="47">
        <v>421</v>
      </c>
      <c r="B423" s="54" t="s">
        <v>421</v>
      </c>
      <c r="C423" s="48" t="s">
        <v>357</v>
      </c>
      <c r="D423" s="48">
        <v>5800</v>
      </c>
      <c r="E423" s="48" t="s">
        <v>250</v>
      </c>
      <c r="F423" s="47">
        <v>1270</v>
      </c>
      <c r="G423" s="47" t="s">
        <v>563</v>
      </c>
      <c r="H423" s="47">
        <v>2</v>
      </c>
      <c r="I423" s="13">
        <v>60</v>
      </c>
      <c r="J423" s="47">
        <v>4</v>
      </c>
      <c r="K423" s="52" t="s">
        <v>377</v>
      </c>
      <c r="L423" s="52">
        <v>1</v>
      </c>
      <c r="M423" s="47">
        <v>560</v>
      </c>
      <c r="N423" s="47" t="s">
        <v>563</v>
      </c>
      <c r="O423" s="53" t="s">
        <v>315</v>
      </c>
      <c r="P423" s="14">
        <f>D423-(F423+H423)*J423-M423-H423*L423</f>
        <v>150</v>
      </c>
      <c r="Q423" s="10">
        <f>P423-I423</f>
        <v>90</v>
      </c>
      <c r="R423" s="26">
        <f>(D423-P423)/D423</f>
        <v>0.97413793103448276</v>
      </c>
    </row>
    <row r="424" spans="1:19" ht="24.9" customHeight="1" x14ac:dyDescent="0.25">
      <c r="A424" s="47">
        <v>422</v>
      </c>
      <c r="B424" s="54" t="s">
        <v>422</v>
      </c>
      <c r="C424" s="48" t="s">
        <v>357</v>
      </c>
      <c r="D424" s="48">
        <v>6100</v>
      </c>
      <c r="E424" s="48" t="s">
        <v>250</v>
      </c>
      <c r="F424" s="47">
        <v>1057</v>
      </c>
      <c r="G424" s="47" t="s">
        <v>563</v>
      </c>
      <c r="H424" s="47">
        <v>2</v>
      </c>
      <c r="I424" s="13">
        <v>60</v>
      </c>
      <c r="J424" s="47">
        <v>5</v>
      </c>
      <c r="K424" s="52" t="s">
        <v>377</v>
      </c>
      <c r="L424" s="52">
        <v>1</v>
      </c>
      <c r="M424" s="47">
        <v>560</v>
      </c>
      <c r="N424" s="47" t="s">
        <v>563</v>
      </c>
      <c r="O424" s="53" t="s">
        <v>315</v>
      </c>
      <c r="P424" s="14">
        <f>D424-(F424+H424)*J424-M424-H424*L424</f>
        <v>243</v>
      </c>
      <c r="Q424" s="10">
        <f>P424-I424</f>
        <v>183</v>
      </c>
      <c r="R424" s="26">
        <f>(D424-P424)/D424</f>
        <v>0.96016393442622949</v>
      </c>
    </row>
    <row r="425" spans="1:19" ht="24.9" customHeight="1" x14ac:dyDescent="0.25">
      <c r="A425" s="47">
        <v>423</v>
      </c>
      <c r="B425" s="54" t="s">
        <v>423</v>
      </c>
      <c r="C425" s="48" t="s">
        <v>357</v>
      </c>
      <c r="D425" s="48">
        <v>5800</v>
      </c>
      <c r="E425" s="48" t="s">
        <v>250</v>
      </c>
      <c r="F425" s="47">
        <v>1262</v>
      </c>
      <c r="G425" s="47" t="s">
        <v>563</v>
      </c>
      <c r="H425" s="47">
        <v>2</v>
      </c>
      <c r="I425" s="13">
        <v>60</v>
      </c>
      <c r="J425" s="47">
        <v>4</v>
      </c>
      <c r="K425" s="52" t="s">
        <v>377</v>
      </c>
      <c r="L425" s="52">
        <v>1</v>
      </c>
      <c r="M425" s="47">
        <v>560</v>
      </c>
      <c r="N425" s="47" t="s">
        <v>563</v>
      </c>
      <c r="O425" s="53" t="s">
        <v>315</v>
      </c>
      <c r="P425" s="14">
        <f>D425-(F425+H425)*J425-M425-H425*L425</f>
        <v>182</v>
      </c>
      <c r="Q425" s="10">
        <f>P425-I425</f>
        <v>122</v>
      </c>
      <c r="R425" s="26">
        <f>(D425-P425)/D425</f>
        <v>0.96862068965517245</v>
      </c>
    </row>
    <row r="426" spans="1:19" ht="24.9" customHeight="1" x14ac:dyDescent="0.25">
      <c r="A426" s="47">
        <v>424</v>
      </c>
      <c r="B426" s="54" t="s">
        <v>424</v>
      </c>
      <c r="C426" s="48" t="s">
        <v>357</v>
      </c>
      <c r="D426" s="48">
        <v>5800</v>
      </c>
      <c r="E426" s="48" t="s">
        <v>250</v>
      </c>
      <c r="F426" s="47">
        <v>1279</v>
      </c>
      <c r="G426" s="47" t="s">
        <v>563</v>
      </c>
      <c r="H426" s="47">
        <v>2</v>
      </c>
      <c r="I426" s="13">
        <v>60</v>
      </c>
      <c r="J426" s="47">
        <v>4</v>
      </c>
      <c r="K426" s="52" t="s">
        <v>377</v>
      </c>
      <c r="L426" s="52">
        <v>1</v>
      </c>
      <c r="M426" s="47">
        <v>560</v>
      </c>
      <c r="N426" s="47" t="s">
        <v>563</v>
      </c>
      <c r="O426" s="53" t="s">
        <v>315</v>
      </c>
      <c r="P426" s="14">
        <f>D426-(F426+H426)*J426-M426-H426*L426</f>
        <v>114</v>
      </c>
      <c r="Q426" s="10">
        <f>P426-I426</f>
        <v>54</v>
      </c>
      <c r="R426" s="26">
        <f>(D426-P426)/D426</f>
        <v>0.98034482758620689</v>
      </c>
    </row>
    <row r="427" spans="1:19" ht="24.9" customHeight="1" x14ac:dyDescent="0.25">
      <c r="A427" s="47">
        <v>425</v>
      </c>
      <c r="B427" s="54" t="s">
        <v>425</v>
      </c>
      <c r="C427" s="48" t="s">
        <v>357</v>
      </c>
      <c r="D427" s="48">
        <v>5800</v>
      </c>
      <c r="E427" s="48" t="s">
        <v>250</v>
      </c>
      <c r="F427" s="47">
        <v>1242</v>
      </c>
      <c r="G427" s="47" t="s">
        <v>563</v>
      </c>
      <c r="H427" s="47">
        <v>2</v>
      </c>
      <c r="I427" s="13">
        <v>60</v>
      </c>
      <c r="J427" s="47">
        <v>4</v>
      </c>
      <c r="K427" s="52" t="s">
        <v>377</v>
      </c>
      <c r="L427" s="52">
        <v>1</v>
      </c>
      <c r="M427" s="47">
        <v>560</v>
      </c>
      <c r="N427" s="47" t="s">
        <v>563</v>
      </c>
      <c r="O427" s="53" t="s">
        <v>315</v>
      </c>
      <c r="P427" s="14">
        <f>D427-(F427+H427)*J427-M427-H427*L427</f>
        <v>262</v>
      </c>
      <c r="Q427" s="10">
        <f>P427-I427</f>
        <v>202</v>
      </c>
      <c r="R427" s="26">
        <f>(D427-P427)/D427</f>
        <v>0.95482758620689656</v>
      </c>
    </row>
    <row r="428" spans="1:19" ht="24.9" customHeight="1" x14ac:dyDescent="0.25">
      <c r="A428" s="47">
        <v>426</v>
      </c>
      <c r="B428" s="54" t="s">
        <v>426</v>
      </c>
      <c r="C428" s="48" t="s">
        <v>357</v>
      </c>
      <c r="D428" s="48">
        <v>5800</v>
      </c>
      <c r="E428" s="48" t="s">
        <v>250</v>
      </c>
      <c r="F428" s="47">
        <v>1247</v>
      </c>
      <c r="G428" s="47" t="s">
        <v>563</v>
      </c>
      <c r="H428" s="47">
        <v>2</v>
      </c>
      <c r="I428" s="13">
        <v>60</v>
      </c>
      <c r="J428" s="47">
        <v>4</v>
      </c>
      <c r="K428" s="52" t="s">
        <v>377</v>
      </c>
      <c r="L428" s="52">
        <v>1</v>
      </c>
      <c r="M428" s="47">
        <v>560</v>
      </c>
      <c r="N428" s="47" t="s">
        <v>563</v>
      </c>
      <c r="O428" s="53" t="s">
        <v>315</v>
      </c>
      <c r="P428" s="14">
        <f>D428-(F428+H428)*J428-M428-H428*L428</f>
        <v>242</v>
      </c>
      <c r="Q428" s="10">
        <f>P428-I428</f>
        <v>182</v>
      </c>
      <c r="R428" s="26">
        <f>(D428-P428)/D428</f>
        <v>0.95827586206896553</v>
      </c>
    </row>
    <row r="429" spans="1:19" ht="24.9" customHeight="1" x14ac:dyDescent="0.25">
      <c r="A429" s="47">
        <v>427</v>
      </c>
      <c r="B429" s="54" t="s">
        <v>427</v>
      </c>
      <c r="C429" s="48" t="s">
        <v>357</v>
      </c>
      <c r="D429" s="48">
        <v>6100</v>
      </c>
      <c r="E429" s="48" t="s">
        <v>250</v>
      </c>
      <c r="F429" s="47">
        <v>1204</v>
      </c>
      <c r="G429" s="47" t="s">
        <v>563</v>
      </c>
      <c r="H429" s="13">
        <v>2</v>
      </c>
      <c r="I429" s="13">
        <v>60</v>
      </c>
      <c r="J429" s="47">
        <v>5</v>
      </c>
      <c r="K429" s="52" t="s">
        <v>567</v>
      </c>
      <c r="L429" s="52">
        <v>0</v>
      </c>
      <c r="M429" s="8">
        <v>0</v>
      </c>
      <c r="N429" s="47"/>
      <c r="O429" s="53" t="s">
        <v>315</v>
      </c>
      <c r="P429" s="14">
        <f>D429-(F429+H429)*J429-M429-H429*L429</f>
        <v>70</v>
      </c>
      <c r="Q429" s="10">
        <f>P429-I429</f>
        <v>10</v>
      </c>
      <c r="R429" s="26">
        <f>(D429-P429)/D429</f>
        <v>0.98852459016393446</v>
      </c>
    </row>
    <row r="430" spans="1:19" ht="24.9" customHeight="1" x14ac:dyDescent="0.25">
      <c r="A430" s="47">
        <v>428</v>
      </c>
      <c r="B430" s="54" t="s">
        <v>428</v>
      </c>
      <c r="C430" s="48" t="s">
        <v>357</v>
      </c>
      <c r="D430" s="48">
        <v>5800</v>
      </c>
      <c r="E430" s="48" t="s">
        <v>250</v>
      </c>
      <c r="F430" s="47">
        <v>1147</v>
      </c>
      <c r="G430" s="47" t="s">
        <v>563</v>
      </c>
      <c r="H430" s="13">
        <v>2</v>
      </c>
      <c r="I430" s="13">
        <v>60</v>
      </c>
      <c r="J430" s="47">
        <v>5</v>
      </c>
      <c r="K430" s="52" t="s">
        <v>567</v>
      </c>
      <c r="L430" s="52">
        <v>0</v>
      </c>
      <c r="M430" s="8">
        <v>0</v>
      </c>
      <c r="N430" s="47"/>
      <c r="O430" s="53" t="s">
        <v>315</v>
      </c>
      <c r="P430" s="14">
        <f>D430-(F430+H430)*J430-M430-H430*L430</f>
        <v>55</v>
      </c>
      <c r="Q430" s="10">
        <f>P430-I430</f>
        <v>-5</v>
      </c>
      <c r="R430" s="26">
        <f>(D430-P430)/D430</f>
        <v>0.9905172413793103</v>
      </c>
    </row>
    <row r="431" spans="1:19" ht="24.9" customHeight="1" x14ac:dyDescent="0.25">
      <c r="A431" s="47">
        <v>429</v>
      </c>
      <c r="B431" s="54" t="s">
        <v>429</v>
      </c>
      <c r="C431" s="48" t="s">
        <v>357</v>
      </c>
      <c r="D431" s="48">
        <v>5800</v>
      </c>
      <c r="E431" s="48" t="s">
        <v>250</v>
      </c>
      <c r="F431" s="47">
        <v>1270</v>
      </c>
      <c r="G431" s="47" t="s">
        <v>563</v>
      </c>
      <c r="H431" s="47">
        <v>2</v>
      </c>
      <c r="I431" s="13">
        <v>60</v>
      </c>
      <c r="J431" s="47">
        <v>4</v>
      </c>
      <c r="K431" s="52" t="s">
        <v>377</v>
      </c>
      <c r="L431" s="52">
        <v>1</v>
      </c>
      <c r="M431" s="47">
        <v>560</v>
      </c>
      <c r="N431" s="47" t="s">
        <v>563</v>
      </c>
      <c r="O431" s="53" t="s">
        <v>315</v>
      </c>
      <c r="P431" s="14">
        <f>D431-(F431+H431)*J431-M431-H431*L431</f>
        <v>150</v>
      </c>
      <c r="Q431" s="10">
        <f>P431-I431</f>
        <v>90</v>
      </c>
      <c r="R431" s="26">
        <f>(D431-P431)/D431</f>
        <v>0.97413793103448276</v>
      </c>
    </row>
    <row r="432" spans="1:19" ht="24.9" customHeight="1" x14ac:dyDescent="0.25">
      <c r="A432" s="47">
        <v>430</v>
      </c>
      <c r="B432" s="54" t="s">
        <v>430</v>
      </c>
      <c r="C432" s="48" t="s">
        <v>357</v>
      </c>
      <c r="D432" s="48">
        <v>6100</v>
      </c>
      <c r="E432" s="48" t="s">
        <v>250</v>
      </c>
      <c r="F432" s="47">
        <v>1076</v>
      </c>
      <c r="G432" s="47" t="s">
        <v>563</v>
      </c>
      <c r="H432" s="47">
        <v>2</v>
      </c>
      <c r="I432" s="13">
        <v>60</v>
      </c>
      <c r="J432" s="47">
        <v>5</v>
      </c>
      <c r="K432" s="52" t="s">
        <v>377</v>
      </c>
      <c r="L432" s="52">
        <v>1</v>
      </c>
      <c r="M432" s="47">
        <v>560</v>
      </c>
      <c r="N432" s="47" t="s">
        <v>563</v>
      </c>
      <c r="O432" s="53" t="s">
        <v>315</v>
      </c>
      <c r="P432" s="14">
        <f>D432-(F432+H432)*J432-M432-H432*L432</f>
        <v>148</v>
      </c>
      <c r="Q432" s="10">
        <f>P432-I432</f>
        <v>88</v>
      </c>
      <c r="R432" s="26">
        <f>(D432-P432)/D432</f>
        <v>0.9757377049180328</v>
      </c>
    </row>
    <row r="433" spans="1:19" ht="24.9" customHeight="1" x14ac:dyDescent="0.25">
      <c r="A433" s="8">
        <v>431</v>
      </c>
      <c r="B433" s="6" t="s">
        <v>432</v>
      </c>
      <c r="C433" s="21" t="s">
        <v>358</v>
      </c>
      <c r="D433" s="21">
        <v>5900</v>
      </c>
      <c r="E433" s="21" t="s">
        <v>250</v>
      </c>
      <c r="F433" s="13">
        <v>1185</v>
      </c>
      <c r="G433" s="13" t="s">
        <v>563</v>
      </c>
      <c r="H433" s="13">
        <v>2</v>
      </c>
      <c r="I433" s="13">
        <v>60</v>
      </c>
      <c r="J433" s="8">
        <v>4</v>
      </c>
      <c r="K433" s="14" t="s">
        <v>561</v>
      </c>
      <c r="L433" s="14">
        <v>1</v>
      </c>
      <c r="M433" s="8">
        <v>1035</v>
      </c>
      <c r="N433" s="8" t="s">
        <v>563</v>
      </c>
      <c r="O433" s="23"/>
      <c r="P433" s="14">
        <f>D433-(F433+H433)*J433-M433-H433*L433</f>
        <v>115</v>
      </c>
      <c r="Q433" s="10">
        <f>P433-I433</f>
        <v>55</v>
      </c>
      <c r="R433" s="26">
        <f>(D433-P433)/D433</f>
        <v>0.98050847457627122</v>
      </c>
      <c r="S433" s="7" t="s">
        <v>433</v>
      </c>
    </row>
    <row r="434" spans="1:19" ht="24.9" customHeight="1" x14ac:dyDescent="0.25">
      <c r="A434" s="8">
        <v>432</v>
      </c>
      <c r="B434" s="9" t="s">
        <v>14</v>
      </c>
      <c r="C434" s="21" t="s">
        <v>357</v>
      </c>
      <c r="D434" s="21">
        <v>5800</v>
      </c>
      <c r="E434" s="21" t="s">
        <v>250</v>
      </c>
      <c r="F434" s="13">
        <v>1180</v>
      </c>
      <c r="G434" s="13" t="s">
        <v>563</v>
      </c>
      <c r="H434" s="13">
        <v>2</v>
      </c>
      <c r="I434" s="13">
        <v>60</v>
      </c>
      <c r="J434" s="8">
        <v>4</v>
      </c>
      <c r="K434" s="10" t="s">
        <v>469</v>
      </c>
      <c r="L434" s="10">
        <v>1</v>
      </c>
      <c r="M434" s="8">
        <v>816.5</v>
      </c>
      <c r="N434" s="8" t="s">
        <v>563</v>
      </c>
      <c r="O434" s="24"/>
      <c r="P434" s="14">
        <f>D434-(F434+H434)*J434-M434-H434*L434</f>
        <v>253.5</v>
      </c>
      <c r="Q434" s="10">
        <f>P434-I434</f>
        <v>193.5</v>
      </c>
      <c r="R434" s="26">
        <f>(D434-P434)/D434</f>
        <v>0.95629310344827589</v>
      </c>
      <c r="S434" s="41"/>
    </row>
    <row r="435" spans="1:19" ht="24.9" customHeight="1" x14ac:dyDescent="0.25">
      <c r="A435" s="8">
        <v>433</v>
      </c>
      <c r="B435" s="6" t="s">
        <v>434</v>
      </c>
      <c r="C435" s="21" t="s">
        <v>358</v>
      </c>
      <c r="D435" s="21">
        <v>6300</v>
      </c>
      <c r="E435" s="13" t="s">
        <v>261</v>
      </c>
      <c r="F435" s="8">
        <v>839.5</v>
      </c>
      <c r="G435" s="8" t="s">
        <v>575</v>
      </c>
      <c r="H435" s="8">
        <v>2</v>
      </c>
      <c r="I435" s="13">
        <v>60</v>
      </c>
      <c r="J435" s="8">
        <v>6</v>
      </c>
      <c r="K435" s="14" t="s">
        <v>561</v>
      </c>
      <c r="L435" s="14">
        <v>1</v>
      </c>
      <c r="M435" s="8">
        <v>1035</v>
      </c>
      <c r="N435" s="8" t="s">
        <v>563</v>
      </c>
      <c r="O435" s="23" t="s">
        <v>288</v>
      </c>
      <c r="P435" s="14">
        <f>D435-(F435+H435)*J435-M435-H435*L435</f>
        <v>214</v>
      </c>
      <c r="Q435" s="10">
        <f>P435-I435</f>
        <v>154</v>
      </c>
      <c r="R435" s="26">
        <f>(D435-P435)/D435</f>
        <v>0.96603174603174602</v>
      </c>
      <c r="S435" s="41"/>
    </row>
    <row r="436" spans="1:19" ht="24.9" customHeight="1" x14ac:dyDescent="0.25">
      <c r="A436" s="47">
        <v>434</v>
      </c>
      <c r="B436" s="60" t="s">
        <v>435</v>
      </c>
      <c r="C436" s="48" t="s">
        <v>357</v>
      </c>
      <c r="D436" s="48">
        <v>6100</v>
      </c>
      <c r="E436" s="48" t="s">
        <v>250</v>
      </c>
      <c r="F436" s="49">
        <v>1197</v>
      </c>
      <c r="G436" s="49" t="s">
        <v>563</v>
      </c>
      <c r="H436" s="13">
        <v>2</v>
      </c>
      <c r="I436" s="13">
        <v>60</v>
      </c>
      <c r="J436" s="49">
        <v>5</v>
      </c>
      <c r="K436" s="61" t="s">
        <v>567</v>
      </c>
      <c r="L436" s="61">
        <v>0</v>
      </c>
      <c r="M436" s="8">
        <v>0</v>
      </c>
      <c r="N436" s="49"/>
      <c r="O436" s="53" t="s">
        <v>315</v>
      </c>
      <c r="P436" s="14">
        <f>D436-(F436+H436)*J436-M436-H436*L436</f>
        <v>105</v>
      </c>
      <c r="Q436" s="10">
        <f>P436-I436</f>
        <v>45</v>
      </c>
      <c r="R436" s="26">
        <f>(D436-P436)/D436</f>
        <v>0.98278688524590163</v>
      </c>
      <c r="S436" s="41"/>
    </row>
    <row r="437" spans="1:19" ht="24.9" customHeight="1" x14ac:dyDescent="0.25">
      <c r="A437" s="8">
        <v>435</v>
      </c>
      <c r="B437" s="17" t="s">
        <v>442</v>
      </c>
      <c r="C437" s="21" t="s">
        <v>358</v>
      </c>
      <c r="D437" s="21">
        <v>6300</v>
      </c>
      <c r="E437" s="13" t="s">
        <v>261</v>
      </c>
      <c r="F437" s="8">
        <v>1192</v>
      </c>
      <c r="G437" s="8" t="s">
        <v>563</v>
      </c>
      <c r="H437" s="13">
        <v>3</v>
      </c>
      <c r="I437" s="13">
        <v>60</v>
      </c>
      <c r="J437" s="8">
        <v>5</v>
      </c>
      <c r="K437" s="14" t="s">
        <v>286</v>
      </c>
      <c r="L437" s="14">
        <v>0</v>
      </c>
      <c r="M437" s="8">
        <v>0</v>
      </c>
      <c r="N437" s="8"/>
      <c r="O437" s="23"/>
      <c r="P437" s="14">
        <f>D437-(F437+H437)*J437-M437-H437*L437</f>
        <v>325</v>
      </c>
      <c r="Q437" s="10">
        <f>P437-I437</f>
        <v>265</v>
      </c>
      <c r="R437" s="26">
        <f>(D437-P437)/D437</f>
        <v>0.94841269841269837</v>
      </c>
      <c r="S437" s="41" t="s">
        <v>452</v>
      </c>
    </row>
    <row r="438" spans="1:19" ht="24.9" customHeight="1" x14ac:dyDescent="0.25">
      <c r="A438" s="8">
        <v>436</v>
      </c>
      <c r="B438" s="17" t="s">
        <v>443</v>
      </c>
      <c r="C438" s="21" t="s">
        <v>358</v>
      </c>
      <c r="D438" s="21">
        <v>5900</v>
      </c>
      <c r="E438" s="13" t="s">
        <v>261</v>
      </c>
      <c r="F438" s="8">
        <v>972</v>
      </c>
      <c r="G438" s="8" t="s">
        <v>563</v>
      </c>
      <c r="H438" s="13">
        <v>2</v>
      </c>
      <c r="I438" s="13">
        <v>60</v>
      </c>
      <c r="J438" s="8">
        <v>6</v>
      </c>
      <c r="K438" s="14" t="s">
        <v>286</v>
      </c>
      <c r="L438" s="14">
        <v>0</v>
      </c>
      <c r="M438" s="8">
        <v>0</v>
      </c>
      <c r="N438" s="8"/>
      <c r="O438" s="23"/>
      <c r="P438" s="14">
        <f>D438-(F438+H438)*J438-M438-H438*L438</f>
        <v>56</v>
      </c>
      <c r="Q438" s="10">
        <f>P438-I438</f>
        <v>-4</v>
      </c>
      <c r="R438" s="26">
        <f>(D438-P438)/D438</f>
        <v>0.99050847457627123</v>
      </c>
      <c r="S438" s="41" t="s">
        <v>452</v>
      </c>
    </row>
    <row r="439" spans="1:19" ht="24.9" customHeight="1" x14ac:dyDescent="0.25">
      <c r="A439" s="8">
        <v>437</v>
      </c>
      <c r="B439" s="4" t="s">
        <v>444</v>
      </c>
      <c r="C439" s="21" t="s">
        <v>555</v>
      </c>
      <c r="D439" s="21">
        <v>6200</v>
      </c>
      <c r="E439" s="13" t="s">
        <v>261</v>
      </c>
      <c r="F439" s="8">
        <v>938</v>
      </c>
      <c r="G439" s="8" t="s">
        <v>563</v>
      </c>
      <c r="H439" s="8">
        <v>2</v>
      </c>
      <c r="I439" s="13">
        <v>60</v>
      </c>
      <c r="J439" s="8">
        <v>5</v>
      </c>
      <c r="K439" s="14" t="s">
        <v>445</v>
      </c>
      <c r="L439" s="14">
        <v>1</v>
      </c>
      <c r="M439" s="8">
        <v>1223</v>
      </c>
      <c r="N439" s="8" t="s">
        <v>563</v>
      </c>
      <c r="O439" s="23"/>
      <c r="P439" s="14">
        <f>D439-(F439+H439)*J439-M439-H439*L439</f>
        <v>275</v>
      </c>
      <c r="Q439" s="10">
        <f>P439-I439</f>
        <v>215</v>
      </c>
      <c r="R439" s="26">
        <f>(D439-P439)/D439</f>
        <v>0.95564516129032262</v>
      </c>
      <c r="S439" s="41"/>
    </row>
    <row r="440" spans="1:19" ht="24.9" customHeight="1" x14ac:dyDescent="0.25">
      <c r="A440" s="8">
        <v>438</v>
      </c>
      <c r="B440" s="4" t="s">
        <v>445</v>
      </c>
      <c r="C440" s="21" t="s">
        <v>555</v>
      </c>
      <c r="D440" s="21">
        <v>6200</v>
      </c>
      <c r="E440" s="13" t="s">
        <v>261</v>
      </c>
      <c r="F440" s="8">
        <v>1223</v>
      </c>
      <c r="G440" s="8" t="s">
        <v>563</v>
      </c>
      <c r="H440" s="13">
        <v>3</v>
      </c>
      <c r="I440" s="13">
        <v>60</v>
      </c>
      <c r="J440" s="8">
        <v>5</v>
      </c>
      <c r="K440" s="14" t="s">
        <v>286</v>
      </c>
      <c r="L440" s="14">
        <v>0</v>
      </c>
      <c r="M440" s="8">
        <v>0</v>
      </c>
      <c r="N440" s="8"/>
      <c r="O440" s="23"/>
      <c r="P440" s="14">
        <f>D440-(F440+H440)*J440-M440-H440*L440</f>
        <v>70</v>
      </c>
      <c r="Q440" s="10">
        <f>P440-I440</f>
        <v>10</v>
      </c>
      <c r="R440" s="26">
        <f>(D440-P440)/D440</f>
        <v>0.98870967741935489</v>
      </c>
      <c r="S440" s="41"/>
    </row>
    <row r="441" spans="1:19" ht="24.9" customHeight="1" x14ac:dyDescent="0.25">
      <c r="A441" s="8">
        <v>439</v>
      </c>
      <c r="B441" s="17" t="s">
        <v>446</v>
      </c>
      <c r="C441" s="21" t="s">
        <v>358</v>
      </c>
      <c r="D441" s="21">
        <v>6400</v>
      </c>
      <c r="E441" s="13" t="s">
        <v>261</v>
      </c>
      <c r="F441" s="8">
        <v>1320</v>
      </c>
      <c r="G441" s="8" t="s">
        <v>563</v>
      </c>
      <c r="H441" s="8">
        <v>3</v>
      </c>
      <c r="I441" s="13">
        <v>60</v>
      </c>
      <c r="J441" s="8">
        <v>4</v>
      </c>
      <c r="K441" s="14" t="s">
        <v>561</v>
      </c>
      <c r="L441" s="14">
        <v>1</v>
      </c>
      <c r="M441" s="8">
        <v>1035</v>
      </c>
      <c r="N441" s="8" t="s">
        <v>563</v>
      </c>
      <c r="O441" s="10"/>
      <c r="P441" s="14">
        <f>D441-(F441+H441)*J441-M441-H441*L441</f>
        <v>70</v>
      </c>
      <c r="Q441" s="10">
        <f>P441-I441</f>
        <v>10</v>
      </c>
      <c r="R441" s="26">
        <f>(D441-P441)/D441</f>
        <v>0.98906249999999996</v>
      </c>
      <c r="S441" s="41"/>
    </row>
    <row r="442" spans="1:19" ht="24.9" customHeight="1" x14ac:dyDescent="0.25">
      <c r="A442" s="8">
        <v>440</v>
      </c>
      <c r="B442" s="6" t="s">
        <v>447</v>
      </c>
      <c r="C442" s="21" t="s">
        <v>358</v>
      </c>
      <c r="D442" s="21">
        <v>5700</v>
      </c>
      <c r="E442" s="13" t="s">
        <v>261</v>
      </c>
      <c r="F442" s="8">
        <v>1085</v>
      </c>
      <c r="G442" s="8" t="s">
        <v>563</v>
      </c>
      <c r="H442" s="13">
        <v>3</v>
      </c>
      <c r="I442" s="13">
        <v>60</v>
      </c>
      <c r="J442" s="8">
        <v>5</v>
      </c>
      <c r="K442" s="14" t="s">
        <v>251</v>
      </c>
      <c r="L442" s="14">
        <v>0</v>
      </c>
      <c r="M442" s="8">
        <v>0</v>
      </c>
      <c r="N442" s="8"/>
      <c r="O442" s="10"/>
      <c r="P442" s="14">
        <f>D442-(F442+H442)*J442-M442-H442*L442</f>
        <v>260</v>
      </c>
      <c r="Q442" s="10">
        <f>P442-I442</f>
        <v>200</v>
      </c>
      <c r="R442" s="26">
        <f>(D442-P442)/D442</f>
        <v>0.95438596491228067</v>
      </c>
      <c r="S442" s="41"/>
    </row>
    <row r="443" spans="1:19" ht="24.9" customHeight="1" x14ac:dyDescent="0.25">
      <c r="A443" s="8">
        <v>441</v>
      </c>
      <c r="B443" s="17" t="s">
        <v>448</v>
      </c>
      <c r="C443" s="21" t="s">
        <v>360</v>
      </c>
      <c r="D443" s="21">
        <v>6200</v>
      </c>
      <c r="E443" s="13" t="s">
        <v>261</v>
      </c>
      <c r="F443" s="8">
        <v>1404</v>
      </c>
      <c r="G443" s="8" t="s">
        <v>563</v>
      </c>
      <c r="H443" s="13">
        <v>3</v>
      </c>
      <c r="I443" s="13">
        <v>60</v>
      </c>
      <c r="J443" s="8">
        <v>4</v>
      </c>
      <c r="K443" s="14" t="s">
        <v>286</v>
      </c>
      <c r="L443" s="14">
        <v>0</v>
      </c>
      <c r="M443" s="8">
        <v>0</v>
      </c>
      <c r="N443" s="8"/>
      <c r="O443" s="23"/>
      <c r="P443" s="14">
        <f>D443-(F443+H443)*J443-M443-H443*L443</f>
        <v>572</v>
      </c>
      <c r="Q443" s="10">
        <f>P443-I443</f>
        <v>512</v>
      </c>
      <c r="R443" s="26">
        <f>(D443-P443)/D443</f>
        <v>0.90774193548387094</v>
      </c>
      <c r="S443" s="41"/>
    </row>
    <row r="444" spans="1:19" ht="24.9" customHeight="1" x14ac:dyDescent="0.25">
      <c r="A444" s="8">
        <v>442</v>
      </c>
      <c r="B444" s="17" t="s">
        <v>449</v>
      </c>
      <c r="C444" s="21" t="s">
        <v>360</v>
      </c>
      <c r="D444" s="21">
        <v>6200</v>
      </c>
      <c r="E444" s="13" t="s">
        <v>261</v>
      </c>
      <c r="F444" s="8">
        <v>1200</v>
      </c>
      <c r="G444" s="8" t="s">
        <v>563</v>
      </c>
      <c r="H444" s="13">
        <v>3</v>
      </c>
      <c r="I444" s="13">
        <v>60</v>
      </c>
      <c r="J444" s="8">
        <v>5</v>
      </c>
      <c r="K444" s="14" t="s">
        <v>286</v>
      </c>
      <c r="L444" s="14">
        <v>0</v>
      </c>
      <c r="M444" s="8">
        <v>0</v>
      </c>
      <c r="N444" s="8"/>
      <c r="O444" s="23"/>
      <c r="P444" s="14">
        <f>D444-(F444+H444)*J444-M444-H444*L444</f>
        <v>185</v>
      </c>
      <c r="Q444" s="10">
        <f>P444-I444</f>
        <v>125</v>
      </c>
      <c r="R444" s="26">
        <f>(D444-P444)/D444</f>
        <v>0.97016129032258069</v>
      </c>
      <c r="S444" s="41"/>
    </row>
    <row r="445" spans="1:19" ht="24.9" customHeight="1" x14ac:dyDescent="0.25">
      <c r="A445" s="8">
        <v>443</v>
      </c>
      <c r="B445" s="4" t="s">
        <v>450</v>
      </c>
      <c r="C445" s="21" t="s">
        <v>359</v>
      </c>
      <c r="D445" s="21">
        <v>6500</v>
      </c>
      <c r="E445" s="21" t="s">
        <v>250</v>
      </c>
      <c r="F445" s="13">
        <v>1225</v>
      </c>
      <c r="G445" s="13" t="s">
        <v>563</v>
      </c>
      <c r="H445" s="13">
        <v>3</v>
      </c>
      <c r="I445" s="13">
        <v>60</v>
      </c>
      <c r="J445" s="13">
        <v>5</v>
      </c>
      <c r="K445" s="14" t="s">
        <v>286</v>
      </c>
      <c r="L445" s="14">
        <v>0</v>
      </c>
      <c r="M445" s="8">
        <v>0</v>
      </c>
      <c r="N445" s="13"/>
      <c r="O445" s="29"/>
      <c r="P445" s="14">
        <f>D445-(F445+H445)*J445-M445-H445*L445</f>
        <v>360</v>
      </c>
      <c r="Q445" s="10">
        <f>P445-I445</f>
        <v>300</v>
      </c>
      <c r="R445" s="26">
        <f>(D445-P445)/D445</f>
        <v>0.94461538461538463</v>
      </c>
      <c r="S445" s="41"/>
    </row>
    <row r="446" spans="1:19" ht="24.9" customHeight="1" x14ac:dyDescent="0.25">
      <c r="A446" s="8">
        <v>444</v>
      </c>
      <c r="B446" s="4" t="s">
        <v>451</v>
      </c>
      <c r="C446" s="21" t="s">
        <v>359</v>
      </c>
      <c r="D446" s="21">
        <v>6500</v>
      </c>
      <c r="E446" s="21" t="s">
        <v>250</v>
      </c>
      <c r="F446" s="13">
        <v>1255</v>
      </c>
      <c r="G446" s="13" t="s">
        <v>563</v>
      </c>
      <c r="H446" s="13">
        <v>3</v>
      </c>
      <c r="I446" s="13">
        <v>60</v>
      </c>
      <c r="J446" s="13">
        <v>5</v>
      </c>
      <c r="K446" s="14" t="s">
        <v>286</v>
      </c>
      <c r="L446" s="14">
        <v>0</v>
      </c>
      <c r="M446" s="8">
        <v>0</v>
      </c>
      <c r="N446" s="13"/>
      <c r="O446" s="29"/>
      <c r="P446" s="14">
        <f>D446-(F446+H446)*J446-M446-H446*L446</f>
        <v>210</v>
      </c>
      <c r="Q446" s="10">
        <f>P446-I446</f>
        <v>150</v>
      </c>
      <c r="R446" s="26">
        <f>(D446-P446)/D446</f>
        <v>0.96769230769230774</v>
      </c>
      <c r="S446" s="41"/>
    </row>
    <row r="447" spans="1:19" ht="24.9" customHeight="1" x14ac:dyDescent="0.25">
      <c r="A447" s="47">
        <v>445</v>
      </c>
      <c r="B447" s="54" t="s">
        <v>453</v>
      </c>
      <c r="C447" s="48" t="s">
        <v>357</v>
      </c>
      <c r="D447" s="48">
        <v>6300</v>
      </c>
      <c r="E447" s="48" t="s">
        <v>250</v>
      </c>
      <c r="F447" s="49">
        <v>1249</v>
      </c>
      <c r="G447" s="49" t="s">
        <v>563</v>
      </c>
      <c r="H447" s="49">
        <v>2</v>
      </c>
      <c r="I447" s="13">
        <v>60</v>
      </c>
      <c r="J447" s="49">
        <v>4</v>
      </c>
      <c r="K447" s="51" t="s">
        <v>569</v>
      </c>
      <c r="L447" s="51">
        <v>1</v>
      </c>
      <c r="M447" s="47">
        <v>1210</v>
      </c>
      <c r="N447" s="47" t="s">
        <v>563</v>
      </c>
      <c r="O447" s="53" t="s">
        <v>315</v>
      </c>
      <c r="P447" s="14">
        <f>D447-(F447+H447)*J447-M447-H447*L447</f>
        <v>84</v>
      </c>
      <c r="Q447" s="10">
        <f>P447-I447</f>
        <v>24</v>
      </c>
      <c r="R447" s="26">
        <f>(D447-P447)/D447</f>
        <v>0.98666666666666669</v>
      </c>
      <c r="S447" s="41"/>
    </row>
    <row r="448" spans="1:19" ht="24.9" customHeight="1" x14ac:dyDescent="0.25">
      <c r="A448" s="8">
        <v>446</v>
      </c>
      <c r="B448" s="17" t="s">
        <v>454</v>
      </c>
      <c r="C448" s="21" t="s">
        <v>358</v>
      </c>
      <c r="D448" s="21">
        <v>5700</v>
      </c>
      <c r="E448" s="13" t="s">
        <v>261</v>
      </c>
      <c r="F448" s="8">
        <v>1119</v>
      </c>
      <c r="G448" s="8" t="s">
        <v>563</v>
      </c>
      <c r="H448" s="13">
        <v>3</v>
      </c>
      <c r="I448" s="13">
        <v>60</v>
      </c>
      <c r="J448" s="8">
        <v>5</v>
      </c>
      <c r="K448" s="14" t="s">
        <v>286</v>
      </c>
      <c r="L448" s="14">
        <v>0</v>
      </c>
      <c r="M448" s="8">
        <v>0</v>
      </c>
      <c r="N448" s="8"/>
      <c r="O448" s="23"/>
      <c r="P448" s="14">
        <f>D448-(F448+H448)*J448-M448-H448*L448</f>
        <v>90</v>
      </c>
      <c r="Q448" s="10">
        <f>P448-I448</f>
        <v>30</v>
      </c>
      <c r="R448" s="26">
        <f>(D448-P448)/D448</f>
        <v>0.98421052631578942</v>
      </c>
      <c r="S448" s="41"/>
    </row>
    <row r="449" spans="1:19" ht="24.9" customHeight="1" x14ac:dyDescent="0.25">
      <c r="A449" s="8">
        <v>447</v>
      </c>
      <c r="B449" s="17" t="s">
        <v>455</v>
      </c>
      <c r="C449" s="21" t="s">
        <v>358</v>
      </c>
      <c r="D449" s="21">
        <v>6300</v>
      </c>
      <c r="E449" s="13" t="s">
        <v>261</v>
      </c>
      <c r="F449" s="8">
        <v>1299</v>
      </c>
      <c r="G449" s="8" t="s">
        <v>563</v>
      </c>
      <c r="H449" s="8">
        <v>2</v>
      </c>
      <c r="I449" s="13">
        <v>60</v>
      </c>
      <c r="J449" s="8">
        <v>4</v>
      </c>
      <c r="K449" s="14" t="s">
        <v>561</v>
      </c>
      <c r="L449" s="14">
        <v>1</v>
      </c>
      <c r="M449" s="8">
        <v>1035</v>
      </c>
      <c r="N449" s="8" t="s">
        <v>563</v>
      </c>
      <c r="O449" s="23"/>
      <c r="P449" s="14">
        <f>D449-(F449+H449)*J449-M449-H449*L449</f>
        <v>59</v>
      </c>
      <c r="Q449" s="10">
        <f>P449-I449</f>
        <v>-1</v>
      </c>
      <c r="R449" s="26">
        <f>(D449-P449)/D449</f>
        <v>0.99063492063492065</v>
      </c>
      <c r="S449" s="41"/>
    </row>
    <row r="450" spans="1:19" ht="24.9" customHeight="1" x14ac:dyDescent="0.25">
      <c r="A450" s="8">
        <v>448</v>
      </c>
      <c r="B450" s="17" t="s">
        <v>456</v>
      </c>
      <c r="C450" s="21" t="s">
        <v>360</v>
      </c>
      <c r="D450" s="21">
        <v>6200</v>
      </c>
      <c r="E450" s="13" t="s">
        <v>261</v>
      </c>
      <c r="F450" s="8">
        <v>1324</v>
      </c>
      <c r="G450" s="8" t="s">
        <v>563</v>
      </c>
      <c r="H450" s="13">
        <v>3</v>
      </c>
      <c r="I450" s="13">
        <v>60</v>
      </c>
      <c r="J450" s="8">
        <v>4</v>
      </c>
      <c r="K450" s="14" t="s">
        <v>286</v>
      </c>
      <c r="L450" s="14">
        <v>0</v>
      </c>
      <c r="M450" s="8">
        <v>0</v>
      </c>
      <c r="N450" s="8"/>
      <c r="O450" s="23"/>
      <c r="P450" s="14">
        <f>D450-(F450+H450)*J450-M450-H450*L450</f>
        <v>892</v>
      </c>
      <c r="Q450" s="10">
        <f>P450-I450</f>
        <v>832</v>
      </c>
      <c r="R450" s="26">
        <f>(D450-P450)/D450</f>
        <v>0.85612903225806447</v>
      </c>
      <c r="S450" s="41"/>
    </row>
    <row r="451" spans="1:19" ht="24.9" customHeight="1" x14ac:dyDescent="0.25">
      <c r="A451" s="8">
        <v>449</v>
      </c>
      <c r="B451" s="17" t="s">
        <v>457</v>
      </c>
      <c r="C451" s="21" t="s">
        <v>360</v>
      </c>
      <c r="D451" s="21">
        <v>6200</v>
      </c>
      <c r="E451" s="13" t="s">
        <v>261</v>
      </c>
      <c r="F451" s="8">
        <v>1120</v>
      </c>
      <c r="G451" s="8" t="s">
        <v>563</v>
      </c>
      <c r="H451" s="8">
        <v>2</v>
      </c>
      <c r="I451" s="13">
        <v>60</v>
      </c>
      <c r="J451" s="8">
        <v>4</v>
      </c>
      <c r="K451" s="14" t="s">
        <v>456</v>
      </c>
      <c r="L451" s="14">
        <v>1</v>
      </c>
      <c r="M451" s="8">
        <v>0</v>
      </c>
      <c r="N451" s="8"/>
      <c r="O451" s="23"/>
      <c r="P451" s="14">
        <f>D451-(F451+H451)*J451-M451-H451*L451</f>
        <v>1710</v>
      </c>
      <c r="Q451" s="10">
        <f>P451-I451</f>
        <v>1650</v>
      </c>
      <c r="R451" s="26">
        <f>(D451-P451)/D451</f>
        <v>0.72419354838709682</v>
      </c>
      <c r="S451" s="41"/>
    </row>
    <row r="452" spans="1:19" ht="24.9" customHeight="1" x14ac:dyDescent="0.25">
      <c r="A452" s="33">
        <v>450</v>
      </c>
      <c r="B452" s="45" t="s">
        <v>32</v>
      </c>
      <c r="C452" s="35" t="s">
        <v>555</v>
      </c>
      <c r="D452" s="35">
        <v>5550</v>
      </c>
      <c r="E452" s="35" t="s">
        <v>250</v>
      </c>
      <c r="F452" s="36">
        <v>1350</v>
      </c>
      <c r="G452" s="36" t="s">
        <v>563</v>
      </c>
      <c r="H452" s="13">
        <v>3</v>
      </c>
      <c r="I452" s="13">
        <v>60</v>
      </c>
      <c r="J452" s="33">
        <v>4</v>
      </c>
      <c r="K452" s="39" t="s">
        <v>251</v>
      </c>
      <c r="L452" s="14">
        <v>0</v>
      </c>
      <c r="M452" s="8">
        <v>0</v>
      </c>
      <c r="N452" s="46"/>
      <c r="O452" s="38" t="s">
        <v>131</v>
      </c>
      <c r="P452" s="14">
        <f>D452-(F452+H452)*J452-M452-H452*L452</f>
        <v>138</v>
      </c>
      <c r="Q452" s="10">
        <f>P452-I452</f>
        <v>78</v>
      </c>
      <c r="R452" s="26">
        <f>(D452-P452)/D452</f>
        <v>0.97513513513513517</v>
      </c>
      <c r="S452" s="41" t="s">
        <v>459</v>
      </c>
    </row>
    <row r="453" spans="1:19" ht="24.9" customHeight="1" x14ac:dyDescent="0.25">
      <c r="A453" s="33">
        <v>451</v>
      </c>
      <c r="B453" s="45" t="s">
        <v>33</v>
      </c>
      <c r="C453" s="35" t="s">
        <v>555</v>
      </c>
      <c r="D453" s="35">
        <v>5550</v>
      </c>
      <c r="E453" s="35" t="s">
        <v>250</v>
      </c>
      <c r="F453" s="36">
        <v>1370</v>
      </c>
      <c r="G453" s="36" t="s">
        <v>563</v>
      </c>
      <c r="H453" s="13">
        <v>2</v>
      </c>
      <c r="I453" s="13">
        <v>60</v>
      </c>
      <c r="J453" s="33">
        <v>4</v>
      </c>
      <c r="K453" s="39" t="s">
        <v>251</v>
      </c>
      <c r="L453" s="14">
        <v>0</v>
      </c>
      <c r="M453" s="8">
        <v>0</v>
      </c>
      <c r="N453" s="46"/>
      <c r="O453" s="38" t="s">
        <v>131</v>
      </c>
      <c r="P453" s="14">
        <f>D453-(F453+H453)*J453-M453-H453*L453</f>
        <v>62</v>
      </c>
      <c r="Q453" s="10">
        <f>P453-I453</f>
        <v>2</v>
      </c>
      <c r="R453" s="26">
        <f>(D453-P453)/D453</f>
        <v>0.98882882882882883</v>
      </c>
      <c r="S453" s="41" t="s">
        <v>459</v>
      </c>
    </row>
    <row r="454" spans="1:19" ht="24.9" customHeight="1" x14ac:dyDescent="0.25">
      <c r="A454" s="8">
        <v>452</v>
      </c>
      <c r="B454" s="4" t="s">
        <v>460</v>
      </c>
      <c r="C454" s="21" t="s">
        <v>357</v>
      </c>
      <c r="D454" s="21">
        <v>6300</v>
      </c>
      <c r="E454" s="21" t="s">
        <v>250</v>
      </c>
      <c r="F454" s="13">
        <v>875.5</v>
      </c>
      <c r="G454" s="13" t="s">
        <v>563</v>
      </c>
      <c r="H454" s="13">
        <v>2</v>
      </c>
      <c r="I454" s="13">
        <v>60</v>
      </c>
      <c r="J454" s="8">
        <v>7</v>
      </c>
      <c r="K454" s="10" t="s">
        <v>251</v>
      </c>
      <c r="L454" s="14">
        <v>0</v>
      </c>
      <c r="M454" s="8">
        <v>0</v>
      </c>
      <c r="N454" s="22"/>
      <c r="O454" s="23" t="s">
        <v>288</v>
      </c>
      <c r="P454" s="14">
        <f>D454-(F454+H454)*J454-M454-H454*L454</f>
        <v>157.5</v>
      </c>
      <c r="Q454" s="10"/>
      <c r="R454" s="26">
        <f>(D454-P454)/D454</f>
        <v>0.97499999999999998</v>
      </c>
      <c r="S454" s="41"/>
    </row>
    <row r="455" spans="1:19" ht="24.9" customHeight="1" x14ac:dyDescent="0.25">
      <c r="A455" s="33">
        <v>453</v>
      </c>
      <c r="B455" s="45" t="s">
        <v>528</v>
      </c>
      <c r="C455" s="35" t="s">
        <v>357</v>
      </c>
      <c r="D455" s="35">
        <v>5800</v>
      </c>
      <c r="E455" s="35" t="s">
        <v>250</v>
      </c>
      <c r="F455" s="36">
        <v>1417</v>
      </c>
      <c r="G455" s="36" t="s">
        <v>563</v>
      </c>
      <c r="H455" s="13">
        <v>2</v>
      </c>
      <c r="I455" s="13">
        <v>60</v>
      </c>
      <c r="J455" s="33">
        <v>4</v>
      </c>
      <c r="K455" s="39" t="s">
        <v>251</v>
      </c>
      <c r="L455" s="14">
        <v>0</v>
      </c>
      <c r="M455" s="8">
        <v>0</v>
      </c>
      <c r="N455" s="46"/>
      <c r="O455" s="38" t="s">
        <v>131</v>
      </c>
      <c r="P455" s="14">
        <f>D455-(F455+H455)*J455-M455-H455*L455</f>
        <v>124</v>
      </c>
      <c r="Q455" s="39">
        <f t="shared" ref="Q455:Q456" si="0">P455-60</f>
        <v>64</v>
      </c>
      <c r="R455" s="26">
        <f>(D455-P455)/D455</f>
        <v>0.97862068965517246</v>
      </c>
      <c r="S455" s="41"/>
    </row>
    <row r="456" spans="1:19" ht="24.9" customHeight="1" x14ac:dyDescent="0.25">
      <c r="A456" s="8">
        <v>454</v>
      </c>
      <c r="B456" s="17" t="s">
        <v>461</v>
      </c>
      <c r="C456" s="21" t="s">
        <v>555</v>
      </c>
      <c r="D456" s="21">
        <v>5500</v>
      </c>
      <c r="E456" s="13" t="s">
        <v>261</v>
      </c>
      <c r="F456" s="16">
        <v>1250</v>
      </c>
      <c r="G456" s="16" t="s">
        <v>563</v>
      </c>
      <c r="H456" s="16">
        <v>3</v>
      </c>
      <c r="I456" s="13">
        <v>60</v>
      </c>
      <c r="J456" s="8">
        <v>3</v>
      </c>
      <c r="K456" s="14" t="s">
        <v>568</v>
      </c>
      <c r="L456" s="14">
        <v>1</v>
      </c>
      <c r="M456" s="8">
        <v>1505</v>
      </c>
      <c r="N456" s="8" t="s">
        <v>563</v>
      </c>
      <c r="O456" s="24"/>
      <c r="P456" s="14">
        <f>D456-(F456+H456)*J456-M456-H456*L456</f>
        <v>233</v>
      </c>
      <c r="Q456" s="10">
        <f t="shared" si="0"/>
        <v>173</v>
      </c>
      <c r="R456" s="26">
        <f>(D456-P456)/D456</f>
        <v>0.95763636363636362</v>
      </c>
      <c r="S456" s="41" t="s">
        <v>462</v>
      </c>
    </row>
    <row r="457" spans="1:19" ht="24.9" customHeight="1" x14ac:dyDescent="0.25">
      <c r="A457" s="8">
        <v>455</v>
      </c>
      <c r="B457" s="17" t="s">
        <v>463</v>
      </c>
      <c r="C457" s="21" t="s">
        <v>357</v>
      </c>
      <c r="D457" s="21">
        <v>5800</v>
      </c>
      <c r="E457" s="21" t="s">
        <v>250</v>
      </c>
      <c r="F457" s="13">
        <v>702</v>
      </c>
      <c r="G457" s="13" t="s">
        <v>563</v>
      </c>
      <c r="H457" s="13">
        <v>2</v>
      </c>
      <c r="I457" s="13">
        <v>60</v>
      </c>
      <c r="J457" s="8">
        <v>8</v>
      </c>
      <c r="K457" s="10" t="s">
        <v>251</v>
      </c>
      <c r="L457" s="14">
        <v>0</v>
      </c>
      <c r="M457" s="8">
        <v>0</v>
      </c>
      <c r="N457" s="22"/>
      <c r="O457" s="23" t="s">
        <v>288</v>
      </c>
      <c r="P457" s="14">
        <f>D457-(F457+H457)*J457-M457-H457*L457</f>
        <v>168</v>
      </c>
      <c r="Q457" s="10"/>
      <c r="R457" s="26">
        <f>(D457-P457)/D457</f>
        <v>0.9710344827586207</v>
      </c>
      <c r="S457" s="41"/>
    </row>
    <row r="458" spans="1:19" ht="24.9" customHeight="1" x14ac:dyDescent="0.25">
      <c r="A458" s="8">
        <v>456</v>
      </c>
      <c r="B458" s="4" t="s">
        <v>280</v>
      </c>
      <c r="C458" s="21" t="s">
        <v>555</v>
      </c>
      <c r="D458" s="21">
        <v>6200</v>
      </c>
      <c r="E458" s="21" t="s">
        <v>250</v>
      </c>
      <c r="F458" s="13">
        <v>720.5</v>
      </c>
      <c r="G458" s="13" t="s">
        <v>563</v>
      </c>
      <c r="H458" s="13">
        <v>2</v>
      </c>
      <c r="I458" s="13">
        <v>60</v>
      </c>
      <c r="J458" s="8">
        <v>8</v>
      </c>
      <c r="K458" s="10" t="s">
        <v>251</v>
      </c>
      <c r="L458" s="14">
        <v>0</v>
      </c>
      <c r="M458" s="8">
        <v>0</v>
      </c>
      <c r="N458" s="22"/>
      <c r="O458" s="23" t="s">
        <v>288</v>
      </c>
      <c r="P458" s="14">
        <f>D458-(F458+H458)*J458-M458-H458*L458</f>
        <v>420</v>
      </c>
      <c r="Q458" s="10">
        <f t="shared" ref="Q458:Q459" si="1">P458-60</f>
        <v>360</v>
      </c>
      <c r="R458" s="26">
        <f>(D458-P458)/D458</f>
        <v>0.93225806451612903</v>
      </c>
      <c r="S458" s="41"/>
    </row>
    <row r="459" spans="1:19" ht="24.9" customHeight="1" x14ac:dyDescent="0.25">
      <c r="A459" s="8">
        <v>457</v>
      </c>
      <c r="B459" s="6" t="s">
        <v>464</v>
      </c>
      <c r="C459" s="21" t="s">
        <v>358</v>
      </c>
      <c r="D459" s="21">
        <v>5700</v>
      </c>
      <c r="E459" s="13" t="s">
        <v>261</v>
      </c>
      <c r="F459" s="8">
        <v>1118</v>
      </c>
      <c r="G459" s="8" t="s">
        <v>563</v>
      </c>
      <c r="H459" s="13">
        <v>3</v>
      </c>
      <c r="I459" s="13">
        <v>60</v>
      </c>
      <c r="J459" s="8">
        <v>5</v>
      </c>
      <c r="K459" s="14" t="s">
        <v>251</v>
      </c>
      <c r="L459" s="14">
        <v>0</v>
      </c>
      <c r="M459" s="8">
        <v>0</v>
      </c>
      <c r="N459" s="8"/>
      <c r="O459" s="10"/>
      <c r="P459" s="14">
        <f>D459-(F459+H459)*J459-M459-H459*L459</f>
        <v>95</v>
      </c>
      <c r="Q459" s="10">
        <f t="shared" si="1"/>
        <v>35</v>
      </c>
      <c r="R459" s="26">
        <f>(D459-P459)/D459</f>
        <v>0.98333333333333328</v>
      </c>
      <c r="S459" s="41"/>
    </row>
    <row r="460" spans="1:19" ht="24.9" customHeight="1" x14ac:dyDescent="0.25">
      <c r="A460" s="8">
        <v>458</v>
      </c>
      <c r="B460" s="6" t="s">
        <v>465</v>
      </c>
      <c r="C460" s="21" t="s">
        <v>358</v>
      </c>
      <c r="D460" s="21">
        <v>5700</v>
      </c>
      <c r="E460" s="13" t="s">
        <v>261</v>
      </c>
      <c r="F460" s="8">
        <v>1085</v>
      </c>
      <c r="G460" s="8" t="s">
        <v>563</v>
      </c>
      <c r="H460" s="13">
        <v>3</v>
      </c>
      <c r="I460" s="13">
        <v>60</v>
      </c>
      <c r="J460" s="8">
        <v>5</v>
      </c>
      <c r="K460" s="14" t="s">
        <v>251</v>
      </c>
      <c r="L460" s="14">
        <v>0</v>
      </c>
      <c r="M460" s="8">
        <v>0</v>
      </c>
      <c r="N460" s="8"/>
      <c r="O460" s="10"/>
      <c r="P460" s="14">
        <f>D460-(F460+H460)*J460-M460-H460*L460</f>
        <v>260</v>
      </c>
      <c r="Q460" s="10">
        <f t="shared" ref="Q460:Q462" si="2">P460-60</f>
        <v>200</v>
      </c>
      <c r="R460" s="26">
        <f>(D460-P460)/D460</f>
        <v>0.95438596491228067</v>
      </c>
      <c r="S460" s="41"/>
    </row>
    <row r="461" spans="1:19" ht="24.9" customHeight="1" x14ac:dyDescent="0.25">
      <c r="A461" s="8">
        <v>459</v>
      </c>
      <c r="B461" s="6" t="s">
        <v>100</v>
      </c>
      <c r="C461" s="21" t="s">
        <v>555</v>
      </c>
      <c r="D461" s="21">
        <v>6200</v>
      </c>
      <c r="E461" s="21" t="s">
        <v>250</v>
      </c>
      <c r="F461" s="13">
        <v>677.5</v>
      </c>
      <c r="G461" s="13" t="s">
        <v>563</v>
      </c>
      <c r="H461" s="13">
        <v>3</v>
      </c>
      <c r="I461" s="13">
        <v>60</v>
      </c>
      <c r="J461" s="8">
        <v>9</v>
      </c>
      <c r="K461" s="14" t="s">
        <v>251</v>
      </c>
      <c r="L461" s="14">
        <v>0</v>
      </c>
      <c r="M461" s="8">
        <v>0</v>
      </c>
      <c r="N461" s="8"/>
      <c r="O461" s="23" t="s">
        <v>22</v>
      </c>
      <c r="P461" s="14">
        <f>D461-(F461+H461)*J461-M461-H461*L461</f>
        <v>75.5</v>
      </c>
      <c r="Q461" s="10">
        <f t="shared" si="2"/>
        <v>15.5</v>
      </c>
      <c r="R461" s="26">
        <f>(D461-P461)/D461</f>
        <v>0.98782258064516126</v>
      </c>
      <c r="S461" s="41"/>
    </row>
    <row r="462" spans="1:19" ht="24.9" customHeight="1" x14ac:dyDescent="0.25">
      <c r="A462" s="33">
        <v>460</v>
      </c>
      <c r="B462" s="34" t="s">
        <v>348</v>
      </c>
      <c r="C462" s="35" t="s">
        <v>358</v>
      </c>
      <c r="D462" s="35">
        <v>6300</v>
      </c>
      <c r="E462" s="36" t="s">
        <v>261</v>
      </c>
      <c r="F462" s="33">
        <v>1550</v>
      </c>
      <c r="G462" s="33" t="s">
        <v>563</v>
      </c>
      <c r="H462" s="13">
        <v>2</v>
      </c>
      <c r="I462" s="13">
        <v>60</v>
      </c>
      <c r="J462" s="33">
        <v>4</v>
      </c>
      <c r="K462" s="37" t="s">
        <v>286</v>
      </c>
      <c r="L462" s="14">
        <v>0</v>
      </c>
      <c r="M462" s="8">
        <v>0</v>
      </c>
      <c r="N462" s="33"/>
      <c r="O462" s="38" t="s">
        <v>317</v>
      </c>
      <c r="P462" s="14">
        <f>D462-(F462+H462)*J462-M462-H462*L462</f>
        <v>92</v>
      </c>
      <c r="Q462" s="39">
        <f t="shared" si="2"/>
        <v>32</v>
      </c>
      <c r="R462" s="26">
        <f>(D462-P462)/D462</f>
        <v>0.98539682539682538</v>
      </c>
      <c r="S462" s="41"/>
    </row>
    <row r="463" spans="1:19" ht="24.9" customHeight="1" x14ac:dyDescent="0.25">
      <c r="A463" s="33">
        <v>461</v>
      </c>
      <c r="B463" s="45" t="s">
        <v>468</v>
      </c>
      <c r="C463" s="35" t="s">
        <v>357</v>
      </c>
      <c r="D463" s="35">
        <v>6300</v>
      </c>
      <c r="E463" s="35" t="s">
        <v>250</v>
      </c>
      <c r="F463" s="36">
        <v>1222</v>
      </c>
      <c r="G463" s="36" t="s">
        <v>563</v>
      </c>
      <c r="H463" s="13">
        <v>2</v>
      </c>
      <c r="I463" s="13">
        <v>60</v>
      </c>
      <c r="J463" s="33">
        <v>5</v>
      </c>
      <c r="K463" s="39" t="s">
        <v>251</v>
      </c>
      <c r="L463" s="14">
        <v>0</v>
      </c>
      <c r="M463" s="8">
        <v>0</v>
      </c>
      <c r="N463" s="46"/>
      <c r="O463" s="38" t="s">
        <v>317</v>
      </c>
      <c r="P463" s="14">
        <f>D463-(F463+H463)*J463-M463-H463*L463</f>
        <v>180</v>
      </c>
      <c r="Q463" s="39"/>
      <c r="R463" s="26">
        <f>(D463-P463)/D463</f>
        <v>0.97142857142857142</v>
      </c>
      <c r="S463" s="41"/>
    </row>
    <row r="464" spans="1:19" ht="24.9" customHeight="1" x14ac:dyDescent="0.25">
      <c r="A464" s="8">
        <v>462</v>
      </c>
      <c r="B464" s="17" t="s">
        <v>528</v>
      </c>
      <c r="C464" s="21" t="s">
        <v>357</v>
      </c>
      <c r="D464" s="21">
        <v>6100</v>
      </c>
      <c r="E464" s="21" t="s">
        <v>261</v>
      </c>
      <c r="F464" s="8">
        <v>1460</v>
      </c>
      <c r="G464" s="8" t="s">
        <v>563</v>
      </c>
      <c r="H464" s="13">
        <v>2</v>
      </c>
      <c r="I464" s="13">
        <v>60</v>
      </c>
      <c r="J464" s="8">
        <v>4</v>
      </c>
      <c r="K464" s="10" t="s">
        <v>251</v>
      </c>
      <c r="L464" s="14">
        <v>0</v>
      </c>
      <c r="M464" s="8">
        <v>0</v>
      </c>
      <c r="N464" s="8"/>
      <c r="O464" s="23" t="s">
        <v>364</v>
      </c>
      <c r="P464" s="14">
        <f>D464-(F464+H464)*J464-M464-H464*L464</f>
        <v>252</v>
      </c>
      <c r="Q464" s="10">
        <f t="shared" ref="Q464:Q469" si="3">P464-60</f>
        <v>192</v>
      </c>
      <c r="R464" s="26">
        <f>(D464-P464)/D464</f>
        <v>0.95868852459016396</v>
      </c>
      <c r="S464" s="41"/>
    </row>
    <row r="465" spans="1:19" ht="24.9" customHeight="1" x14ac:dyDescent="0.25">
      <c r="A465" s="8">
        <v>463</v>
      </c>
      <c r="B465" s="6" t="s">
        <v>100</v>
      </c>
      <c r="C465" s="21" t="s">
        <v>555</v>
      </c>
      <c r="D465" s="21">
        <v>5500</v>
      </c>
      <c r="E465" s="21" t="s">
        <v>250</v>
      </c>
      <c r="F465" s="13">
        <v>677.5</v>
      </c>
      <c r="G465" s="13" t="s">
        <v>563</v>
      </c>
      <c r="H465" s="13">
        <v>2</v>
      </c>
      <c r="I465" s="13">
        <v>60</v>
      </c>
      <c r="J465" s="8">
        <v>8</v>
      </c>
      <c r="K465" s="14" t="s">
        <v>251</v>
      </c>
      <c r="L465" s="14">
        <v>0</v>
      </c>
      <c r="M465" s="8">
        <v>0</v>
      </c>
      <c r="N465" s="8"/>
      <c r="O465" s="23" t="s">
        <v>22</v>
      </c>
      <c r="P465" s="14">
        <f>D465-(F465+H465)*J465-M465-H465*L465</f>
        <v>64</v>
      </c>
      <c r="Q465" s="10">
        <f t="shared" si="3"/>
        <v>4</v>
      </c>
      <c r="R465" s="26">
        <f>(D465-P465)/D465</f>
        <v>0.98836363636363633</v>
      </c>
      <c r="S465" s="41"/>
    </row>
    <row r="466" spans="1:19" ht="24.9" customHeight="1" x14ac:dyDescent="0.25">
      <c r="A466" s="33">
        <v>464</v>
      </c>
      <c r="B466" s="42" t="s">
        <v>236</v>
      </c>
      <c r="C466" s="35" t="s">
        <v>357</v>
      </c>
      <c r="D466" s="35">
        <v>6100</v>
      </c>
      <c r="E466" s="35" t="s">
        <v>250</v>
      </c>
      <c r="F466" s="33">
        <v>1310</v>
      </c>
      <c r="G466" s="33" t="s">
        <v>563</v>
      </c>
      <c r="H466" s="33">
        <v>3</v>
      </c>
      <c r="I466" s="13">
        <v>60</v>
      </c>
      <c r="J466" s="33">
        <v>4</v>
      </c>
      <c r="K466" s="39" t="s">
        <v>377</v>
      </c>
      <c r="L466" s="39">
        <v>1</v>
      </c>
      <c r="M466" s="33">
        <v>560</v>
      </c>
      <c r="N466" s="33" t="s">
        <v>563</v>
      </c>
      <c r="O466" s="38" t="s">
        <v>317</v>
      </c>
      <c r="P466" s="14">
        <f>D466-(F466+H466)*J466-M466-H466*L466</f>
        <v>285</v>
      </c>
      <c r="Q466" s="39">
        <f t="shared" si="3"/>
        <v>225</v>
      </c>
      <c r="R466" s="26">
        <f>(D466-P466)/D466</f>
        <v>0.95327868852459019</v>
      </c>
      <c r="S466" s="41"/>
    </row>
    <row r="467" spans="1:19" ht="24.9" customHeight="1" x14ac:dyDescent="0.25">
      <c r="A467" s="33">
        <v>465</v>
      </c>
      <c r="B467" s="34" t="s">
        <v>346</v>
      </c>
      <c r="C467" s="35" t="s">
        <v>357</v>
      </c>
      <c r="D467" s="35">
        <v>6300</v>
      </c>
      <c r="E467" s="35" t="s">
        <v>261</v>
      </c>
      <c r="F467" s="33">
        <v>1325</v>
      </c>
      <c r="G467" s="33" t="s">
        <v>563</v>
      </c>
      <c r="H467" s="33">
        <v>3</v>
      </c>
      <c r="I467" s="13">
        <v>60</v>
      </c>
      <c r="J467" s="33">
        <v>4</v>
      </c>
      <c r="K467" s="37" t="s">
        <v>469</v>
      </c>
      <c r="L467" s="37">
        <v>1</v>
      </c>
      <c r="M467" s="33">
        <v>816.5</v>
      </c>
      <c r="N467" s="33" t="s">
        <v>563</v>
      </c>
      <c r="O467" s="38" t="s">
        <v>317</v>
      </c>
      <c r="P467" s="14">
        <f>D467-(F467+H467)*J467-M467-H467*L467</f>
        <v>168.5</v>
      </c>
      <c r="Q467" s="39">
        <f t="shared" si="3"/>
        <v>108.5</v>
      </c>
      <c r="R467" s="26">
        <f>(D467-P467)/D467</f>
        <v>0.97325396825396826</v>
      </c>
      <c r="S467" s="41"/>
    </row>
    <row r="468" spans="1:19" ht="24.9" customHeight="1" x14ac:dyDescent="0.25">
      <c r="A468" s="33">
        <v>466</v>
      </c>
      <c r="B468" s="45" t="s">
        <v>469</v>
      </c>
      <c r="C468" s="35" t="s">
        <v>357</v>
      </c>
      <c r="D468" s="35">
        <v>6300</v>
      </c>
      <c r="E468" s="35" t="s">
        <v>250</v>
      </c>
      <c r="F468" s="36">
        <v>1525</v>
      </c>
      <c r="G468" s="36" t="s">
        <v>563</v>
      </c>
      <c r="H468" s="13">
        <v>2</v>
      </c>
      <c r="I468" s="13">
        <v>60</v>
      </c>
      <c r="J468" s="33">
        <v>4</v>
      </c>
      <c r="K468" s="39" t="s">
        <v>251</v>
      </c>
      <c r="L468" s="14">
        <v>0</v>
      </c>
      <c r="M468" s="8">
        <v>0</v>
      </c>
      <c r="N468" s="46"/>
      <c r="O468" s="38" t="s">
        <v>317</v>
      </c>
      <c r="P468" s="14">
        <f>D468-(F468+H468)*J468-M468-H468*L468</f>
        <v>192</v>
      </c>
      <c r="Q468" s="39"/>
      <c r="R468" s="26">
        <f>(D468-P468)/D468</f>
        <v>0.96952380952380957</v>
      </c>
      <c r="S468" s="41"/>
    </row>
    <row r="469" spans="1:19" ht="24.9" customHeight="1" x14ac:dyDescent="0.25">
      <c r="A469" s="33">
        <v>467</v>
      </c>
      <c r="B469" s="45" t="s">
        <v>469</v>
      </c>
      <c r="C469" s="35" t="s">
        <v>357</v>
      </c>
      <c r="D469" s="35">
        <v>6100</v>
      </c>
      <c r="E469" s="35" t="s">
        <v>250</v>
      </c>
      <c r="F469" s="36">
        <v>1525</v>
      </c>
      <c r="G469" s="36" t="s">
        <v>563</v>
      </c>
      <c r="H469" s="36">
        <v>3</v>
      </c>
      <c r="I469" s="13">
        <v>60</v>
      </c>
      <c r="J469" s="33">
        <v>3</v>
      </c>
      <c r="K469" s="39" t="s">
        <v>346</v>
      </c>
      <c r="L469" s="39">
        <v>1</v>
      </c>
      <c r="M469" s="33">
        <v>1325</v>
      </c>
      <c r="N469" s="33" t="s">
        <v>563</v>
      </c>
      <c r="O469" s="38" t="s">
        <v>317</v>
      </c>
      <c r="P469" s="14">
        <f>D469-(F469+H469)*J469-M469-H469*L469</f>
        <v>188</v>
      </c>
      <c r="Q469" s="39">
        <f t="shared" si="3"/>
        <v>128</v>
      </c>
      <c r="R469" s="26">
        <f>(D469-P469)/D469</f>
        <v>0.96918032786885244</v>
      </c>
      <c r="S469" s="41"/>
    </row>
    <row r="470" spans="1:19" ht="24.9" customHeight="1" x14ac:dyDescent="0.25">
      <c r="A470" s="8">
        <v>468</v>
      </c>
      <c r="B470" s="4" t="s">
        <v>470</v>
      </c>
      <c r="C470" s="21" t="s">
        <v>555</v>
      </c>
      <c r="D470" s="21">
        <v>6200</v>
      </c>
      <c r="E470" s="21" t="s">
        <v>250</v>
      </c>
      <c r="F470" s="13">
        <v>974</v>
      </c>
      <c r="G470" s="13" t="s">
        <v>563</v>
      </c>
      <c r="H470" s="13">
        <v>2</v>
      </c>
      <c r="I470" s="13">
        <v>60</v>
      </c>
      <c r="J470" s="8">
        <v>6</v>
      </c>
      <c r="K470" s="10" t="s">
        <v>251</v>
      </c>
      <c r="L470" s="14">
        <v>0</v>
      </c>
      <c r="M470" s="8">
        <v>0</v>
      </c>
      <c r="N470" s="22"/>
      <c r="O470" s="23"/>
      <c r="P470" s="14">
        <f>D470-(F470+H470)*J470-M470-H470*L470</f>
        <v>344</v>
      </c>
      <c r="Q470" s="10">
        <f t="shared" ref="Q470" si="4">P470-60</f>
        <v>284</v>
      </c>
      <c r="R470" s="26">
        <f>(D470-P470)/D470</f>
        <v>0.94451612903225801</v>
      </c>
      <c r="S470" s="41"/>
    </row>
    <row r="471" spans="1:19" ht="24.9" customHeight="1" x14ac:dyDescent="0.25">
      <c r="A471" s="8">
        <v>469</v>
      </c>
      <c r="B471" s="4" t="s">
        <v>471</v>
      </c>
      <c r="C471" s="21" t="s">
        <v>555</v>
      </c>
      <c r="D471" s="21">
        <v>6200</v>
      </c>
      <c r="E471" s="21" t="s">
        <v>250</v>
      </c>
      <c r="F471" s="13">
        <v>1192</v>
      </c>
      <c r="G471" s="13" t="s">
        <v>563</v>
      </c>
      <c r="H471" s="13">
        <v>2</v>
      </c>
      <c r="I471" s="13">
        <v>60</v>
      </c>
      <c r="J471" s="8">
        <v>5</v>
      </c>
      <c r="K471" s="10" t="s">
        <v>251</v>
      </c>
      <c r="L471" s="14">
        <v>0</v>
      </c>
      <c r="M471" s="8">
        <v>0</v>
      </c>
      <c r="N471" s="22"/>
      <c r="O471" s="23"/>
      <c r="P471" s="14">
        <f>D471-(F471+H471)*J471-M471-H471*L471</f>
        <v>230</v>
      </c>
      <c r="Q471" s="10">
        <f t="shared" ref="Q471:Q472" si="5">P471-60</f>
        <v>170</v>
      </c>
      <c r="R471" s="26">
        <f>(D471-P471)/D471</f>
        <v>0.9629032258064516</v>
      </c>
      <c r="S471" s="41"/>
    </row>
    <row r="472" spans="1:19" ht="24.9" customHeight="1" x14ac:dyDescent="0.25">
      <c r="A472" s="8">
        <v>470</v>
      </c>
      <c r="B472" s="4" t="s">
        <v>472</v>
      </c>
      <c r="C472" s="21" t="s">
        <v>357</v>
      </c>
      <c r="D472" s="21">
        <v>5800</v>
      </c>
      <c r="E472" s="21" t="s">
        <v>250</v>
      </c>
      <c r="F472" s="13">
        <v>1265</v>
      </c>
      <c r="G472" s="13" t="s">
        <v>563</v>
      </c>
      <c r="H472" s="13">
        <v>3</v>
      </c>
      <c r="I472" s="13">
        <v>60</v>
      </c>
      <c r="J472" s="8">
        <v>4</v>
      </c>
      <c r="K472" s="10" t="s">
        <v>377</v>
      </c>
      <c r="L472" s="10">
        <v>1</v>
      </c>
      <c r="M472" s="8">
        <v>560</v>
      </c>
      <c r="N472" s="8" t="s">
        <v>563</v>
      </c>
      <c r="O472" s="23"/>
      <c r="P472" s="14">
        <f>D472-(F472+H472)*J472-M472-H472*L472</f>
        <v>165</v>
      </c>
      <c r="Q472" s="10">
        <f t="shared" si="5"/>
        <v>105</v>
      </c>
      <c r="R472" s="26">
        <f>(D472-P472)/D472</f>
        <v>0.97155172413793101</v>
      </c>
      <c r="S472" s="41"/>
    </row>
    <row r="473" spans="1:19" ht="24.9" customHeight="1" x14ac:dyDescent="0.25">
      <c r="A473" s="8">
        <v>471</v>
      </c>
      <c r="B473" s="4" t="s">
        <v>473</v>
      </c>
      <c r="C473" s="21" t="s">
        <v>357</v>
      </c>
      <c r="D473" s="21">
        <v>5800</v>
      </c>
      <c r="E473" s="21" t="s">
        <v>250</v>
      </c>
      <c r="F473" s="13">
        <v>1086</v>
      </c>
      <c r="G473" s="13" t="s">
        <v>563</v>
      </c>
      <c r="H473" s="13">
        <v>2</v>
      </c>
      <c r="I473" s="13">
        <v>60</v>
      </c>
      <c r="J473" s="8">
        <v>5</v>
      </c>
      <c r="K473" s="10" t="s">
        <v>251</v>
      </c>
      <c r="L473" s="14">
        <v>0</v>
      </c>
      <c r="M473" s="8">
        <v>0</v>
      </c>
      <c r="N473" s="8"/>
      <c r="O473" s="23"/>
      <c r="P473" s="14">
        <f>D473-(F473+H473)*J473-M473-H473*L473</f>
        <v>360</v>
      </c>
      <c r="Q473" s="10">
        <f t="shared" ref="Q473:Q474" si="6">P473-60</f>
        <v>300</v>
      </c>
      <c r="R473" s="26">
        <f>(D473-P473)/D473</f>
        <v>0.93793103448275861</v>
      </c>
      <c r="S473" s="41"/>
    </row>
    <row r="474" spans="1:19" ht="24.9" customHeight="1" x14ac:dyDescent="0.25">
      <c r="A474" s="8">
        <v>472</v>
      </c>
      <c r="B474" s="17" t="s">
        <v>241</v>
      </c>
      <c r="C474" s="21" t="s">
        <v>555</v>
      </c>
      <c r="D474" s="21">
        <v>6200</v>
      </c>
      <c r="E474" s="21" t="s">
        <v>250</v>
      </c>
      <c r="F474" s="8">
        <v>739.5</v>
      </c>
      <c r="G474" s="8" t="s">
        <v>563</v>
      </c>
      <c r="H474" s="13">
        <v>3</v>
      </c>
      <c r="I474" s="13">
        <v>60</v>
      </c>
      <c r="J474" s="8">
        <v>8</v>
      </c>
      <c r="K474" s="14" t="s">
        <v>251</v>
      </c>
      <c r="L474" s="14">
        <v>0</v>
      </c>
      <c r="M474" s="8">
        <v>0</v>
      </c>
      <c r="N474" s="22"/>
      <c r="O474" s="24"/>
      <c r="P474" s="14">
        <f>D474-(F474+H474)*J474-M474-H474*L474</f>
        <v>260</v>
      </c>
      <c r="Q474" s="10">
        <f t="shared" si="6"/>
        <v>200</v>
      </c>
      <c r="R474" s="26">
        <f>(D474-P474)/D474</f>
        <v>0.95806451612903221</v>
      </c>
      <c r="S474" s="41"/>
    </row>
    <row r="475" spans="1:19" ht="24.9" customHeight="1" x14ac:dyDescent="0.25">
      <c r="A475" s="8">
        <v>473</v>
      </c>
      <c r="B475" s="17" t="s">
        <v>242</v>
      </c>
      <c r="C475" s="21" t="s">
        <v>555</v>
      </c>
      <c r="D475" s="21">
        <v>5660</v>
      </c>
      <c r="E475" s="21" t="s">
        <v>250</v>
      </c>
      <c r="F475" s="8">
        <v>699.5</v>
      </c>
      <c r="G475" s="8" t="s">
        <v>563</v>
      </c>
      <c r="H475" s="13">
        <v>2</v>
      </c>
      <c r="I475" s="13">
        <v>60</v>
      </c>
      <c r="J475" s="8">
        <v>8</v>
      </c>
      <c r="K475" s="14" t="s">
        <v>251</v>
      </c>
      <c r="L475" s="14">
        <v>0</v>
      </c>
      <c r="M475" s="8">
        <v>0</v>
      </c>
      <c r="N475" s="22"/>
      <c r="O475" s="24"/>
      <c r="P475" s="14">
        <f>D475-(F475+H475)*J475-M475-H475*L475</f>
        <v>48</v>
      </c>
      <c r="Q475" s="10">
        <f>P475-48</f>
        <v>0</v>
      </c>
      <c r="R475" s="26">
        <f>(D475-P475)/D475</f>
        <v>0.99151943462897529</v>
      </c>
      <c r="S475" s="41"/>
    </row>
    <row r="476" spans="1:19" ht="24.9" customHeight="1" x14ac:dyDescent="0.25">
      <c r="A476" s="8">
        <v>474</v>
      </c>
      <c r="B476" s="6" t="s">
        <v>474</v>
      </c>
      <c r="C476" s="21" t="s">
        <v>358</v>
      </c>
      <c r="D476" s="21">
        <v>5700</v>
      </c>
      <c r="E476" s="13" t="s">
        <v>261</v>
      </c>
      <c r="F476" s="8">
        <v>1085</v>
      </c>
      <c r="G476" s="8" t="s">
        <v>563</v>
      </c>
      <c r="H476" s="13">
        <v>3</v>
      </c>
      <c r="I476" s="13">
        <v>60</v>
      </c>
      <c r="J476" s="8">
        <v>5</v>
      </c>
      <c r="K476" s="14" t="s">
        <v>251</v>
      </c>
      <c r="L476" s="14">
        <v>0</v>
      </c>
      <c r="M476" s="8">
        <v>0</v>
      </c>
      <c r="N476" s="8"/>
      <c r="O476" s="10"/>
      <c r="P476" s="14">
        <f>D476-(F476+H476)*J476-M476-H476*L476</f>
        <v>260</v>
      </c>
      <c r="Q476" s="10">
        <f t="shared" ref="Q476" si="7">P476-60</f>
        <v>200</v>
      </c>
      <c r="R476" s="26">
        <f>(D476-P476)/D476</f>
        <v>0.95438596491228067</v>
      </c>
      <c r="S476" s="41"/>
    </row>
    <row r="477" spans="1:19" ht="24.9" customHeight="1" x14ac:dyDescent="0.25">
      <c r="A477" s="8">
        <v>474</v>
      </c>
      <c r="B477" s="6" t="s">
        <v>475</v>
      </c>
      <c r="C477" s="21" t="s">
        <v>358</v>
      </c>
      <c r="D477" s="21">
        <v>5700</v>
      </c>
      <c r="E477" s="13" t="s">
        <v>261</v>
      </c>
      <c r="F477" s="8">
        <v>1325</v>
      </c>
      <c r="G477" s="8" t="s">
        <v>563</v>
      </c>
      <c r="H477" s="13">
        <v>3</v>
      </c>
      <c r="I477" s="13">
        <v>60</v>
      </c>
      <c r="J477" s="8">
        <v>4</v>
      </c>
      <c r="K477" s="14" t="s">
        <v>251</v>
      </c>
      <c r="L477" s="14">
        <v>0</v>
      </c>
      <c r="M477" s="8">
        <v>0</v>
      </c>
      <c r="N477" s="8"/>
      <c r="O477" s="10"/>
      <c r="P477" s="14">
        <f>D477-(F477+H477)*J477-M477-H477*L477</f>
        <v>388</v>
      </c>
      <c r="Q477" s="10">
        <f t="shared" ref="Q477:Q478" si="8">P477-60</f>
        <v>328</v>
      </c>
      <c r="R477" s="26">
        <f>(D477-P477)/D477</f>
        <v>0.9319298245614035</v>
      </c>
      <c r="S477" s="41"/>
    </row>
    <row r="478" spans="1:19" ht="24.9" customHeight="1" x14ac:dyDescent="0.25">
      <c r="A478" s="8">
        <v>475</v>
      </c>
      <c r="B478" s="6" t="s">
        <v>481</v>
      </c>
      <c r="C478" s="21" t="s">
        <v>555</v>
      </c>
      <c r="D478" s="21">
        <v>5660</v>
      </c>
      <c r="E478" s="21" t="s">
        <v>250</v>
      </c>
      <c r="F478" s="8">
        <v>1102</v>
      </c>
      <c r="G478" s="8" t="s">
        <v>563</v>
      </c>
      <c r="H478" s="13">
        <v>3</v>
      </c>
      <c r="I478" s="13">
        <v>60</v>
      </c>
      <c r="J478" s="8">
        <v>5</v>
      </c>
      <c r="K478" s="14" t="s">
        <v>251</v>
      </c>
      <c r="L478" s="14">
        <v>0</v>
      </c>
      <c r="M478" s="8">
        <v>0</v>
      </c>
      <c r="N478" s="22"/>
      <c r="O478" s="24"/>
      <c r="P478" s="14">
        <f>D478-(F478+H478)*J478-M478-H478*L478</f>
        <v>135</v>
      </c>
      <c r="Q478" s="10">
        <f t="shared" si="8"/>
        <v>75</v>
      </c>
      <c r="R478" s="26">
        <f>(D478-P478)/D478</f>
        <v>0.97614840989399299</v>
      </c>
      <c r="S478" s="40" t="s">
        <v>495</v>
      </c>
    </row>
    <row r="479" spans="1:19" ht="24.9" customHeight="1" x14ac:dyDescent="0.25">
      <c r="A479" s="8">
        <v>476</v>
      </c>
      <c r="B479" s="6" t="s">
        <v>482</v>
      </c>
      <c r="C479" s="21" t="s">
        <v>555</v>
      </c>
      <c r="D479" s="21">
        <v>5500</v>
      </c>
      <c r="E479" s="21" t="s">
        <v>250</v>
      </c>
      <c r="F479" s="8">
        <v>1322</v>
      </c>
      <c r="G479" s="8" t="s">
        <v>563</v>
      </c>
      <c r="H479" s="13">
        <v>3</v>
      </c>
      <c r="I479" s="13">
        <v>60</v>
      </c>
      <c r="J479" s="8">
        <v>4</v>
      </c>
      <c r="K479" s="14" t="s">
        <v>251</v>
      </c>
      <c r="L479" s="14">
        <v>0</v>
      </c>
      <c r="M479" s="8">
        <v>0</v>
      </c>
      <c r="N479" s="22"/>
      <c r="O479" s="24"/>
      <c r="P479" s="14">
        <f>D479-(F479+H479)*J479-M479-H479*L479</f>
        <v>200</v>
      </c>
      <c r="Q479" s="10">
        <f t="shared" ref="Q479:Q480" si="9">P479-60</f>
        <v>140</v>
      </c>
      <c r="R479" s="26">
        <f>(D479-P479)/D479</f>
        <v>0.96363636363636362</v>
      </c>
      <c r="S479" s="40" t="s">
        <v>495</v>
      </c>
    </row>
    <row r="480" spans="1:19" ht="24.9" customHeight="1" x14ac:dyDescent="0.25">
      <c r="A480" s="8">
        <v>477</v>
      </c>
      <c r="B480" s="6" t="s">
        <v>483</v>
      </c>
      <c r="C480" s="21" t="s">
        <v>555</v>
      </c>
      <c r="D480" s="21">
        <v>6200</v>
      </c>
      <c r="E480" s="21" t="s">
        <v>250</v>
      </c>
      <c r="F480" s="8">
        <v>1122</v>
      </c>
      <c r="G480" s="8" t="s">
        <v>563</v>
      </c>
      <c r="H480" s="8">
        <v>3</v>
      </c>
      <c r="I480" s="13">
        <v>60</v>
      </c>
      <c r="J480" s="8">
        <v>4</v>
      </c>
      <c r="K480" s="14" t="s">
        <v>568</v>
      </c>
      <c r="L480" s="10">
        <v>1</v>
      </c>
      <c r="M480" s="8">
        <v>1505</v>
      </c>
      <c r="N480" s="8" t="s">
        <v>563</v>
      </c>
      <c r="O480" s="24"/>
      <c r="P480" s="14">
        <f>D480-(F480+H480)*J480-M480-H480*L480</f>
        <v>192</v>
      </c>
      <c r="Q480" s="10">
        <f t="shared" si="9"/>
        <v>132</v>
      </c>
      <c r="R480" s="26">
        <f>(D480-P480)/D480</f>
        <v>0.96903225806451609</v>
      </c>
      <c r="S480" s="40" t="s">
        <v>495</v>
      </c>
    </row>
    <row r="481" spans="1:19" ht="24.9" customHeight="1" x14ac:dyDescent="0.25">
      <c r="A481" s="8">
        <v>478</v>
      </c>
      <c r="B481" s="6" t="s">
        <v>484</v>
      </c>
      <c r="C481" s="21" t="s">
        <v>555</v>
      </c>
      <c r="D481" s="21">
        <v>5500</v>
      </c>
      <c r="E481" s="21" t="s">
        <v>250</v>
      </c>
      <c r="F481" s="8">
        <v>1303</v>
      </c>
      <c r="G481" s="8" t="s">
        <v>563</v>
      </c>
      <c r="H481" s="13">
        <v>3</v>
      </c>
      <c r="I481" s="13">
        <v>60</v>
      </c>
      <c r="J481" s="8">
        <v>4</v>
      </c>
      <c r="K481" s="14" t="s">
        <v>251</v>
      </c>
      <c r="L481" s="14">
        <v>0</v>
      </c>
      <c r="M481" s="8">
        <v>0</v>
      </c>
      <c r="N481" s="22"/>
      <c r="O481" s="24"/>
      <c r="P481" s="14">
        <f>D481-(F481+H481)*J481-M481-H481*L481</f>
        <v>276</v>
      </c>
      <c r="Q481" s="10">
        <f t="shared" ref="Q481:Q484" si="10">P481-60</f>
        <v>216</v>
      </c>
      <c r="R481" s="26">
        <f>(D481-P481)/D481</f>
        <v>0.94981818181818178</v>
      </c>
      <c r="S481" s="40" t="s">
        <v>495</v>
      </c>
    </row>
    <row r="482" spans="1:19" ht="24.9" customHeight="1" x14ac:dyDescent="0.25">
      <c r="A482" s="8">
        <v>479</v>
      </c>
      <c r="B482" s="6" t="s">
        <v>485</v>
      </c>
      <c r="C482" s="21" t="s">
        <v>360</v>
      </c>
      <c r="D482" s="21">
        <v>6200</v>
      </c>
      <c r="E482" s="13" t="s">
        <v>261</v>
      </c>
      <c r="F482" s="8">
        <v>1193</v>
      </c>
      <c r="G482" s="8" t="s">
        <v>563</v>
      </c>
      <c r="H482" s="13">
        <v>3</v>
      </c>
      <c r="I482" s="13">
        <v>60</v>
      </c>
      <c r="J482" s="8">
        <v>5</v>
      </c>
      <c r="K482" s="14" t="s">
        <v>286</v>
      </c>
      <c r="L482" s="14">
        <v>0</v>
      </c>
      <c r="M482" s="8">
        <v>0</v>
      </c>
      <c r="N482" s="8"/>
      <c r="O482" s="23"/>
      <c r="P482" s="14">
        <f>D482-(F482+H482)*J482-M482-H482*L482</f>
        <v>220</v>
      </c>
      <c r="Q482" s="10">
        <f t="shared" si="10"/>
        <v>160</v>
      </c>
      <c r="R482" s="26">
        <f>(D482-P482)/D482</f>
        <v>0.96451612903225803</v>
      </c>
      <c r="S482" s="41"/>
    </row>
    <row r="483" spans="1:19" ht="24.9" customHeight="1" x14ac:dyDescent="0.25">
      <c r="A483" s="8">
        <v>480</v>
      </c>
      <c r="B483" s="6" t="s">
        <v>489</v>
      </c>
      <c r="C483" s="21" t="s">
        <v>357</v>
      </c>
      <c r="D483" s="21">
        <v>5800</v>
      </c>
      <c r="E483" s="21" t="s">
        <v>250</v>
      </c>
      <c r="F483" s="13">
        <v>691.5</v>
      </c>
      <c r="G483" s="13" t="s">
        <v>563</v>
      </c>
      <c r="H483" s="13">
        <v>2</v>
      </c>
      <c r="I483" s="13">
        <v>60</v>
      </c>
      <c r="J483" s="8">
        <v>8</v>
      </c>
      <c r="K483" s="10" t="s">
        <v>251</v>
      </c>
      <c r="L483" s="14">
        <v>0</v>
      </c>
      <c r="M483" s="8">
        <v>0</v>
      </c>
      <c r="N483" s="8"/>
      <c r="O483" s="23" t="s">
        <v>490</v>
      </c>
      <c r="P483" s="14">
        <f>D483-(F483+H483)*J483-M483-H483*L483</f>
        <v>252</v>
      </c>
      <c r="Q483" s="10">
        <f t="shared" si="10"/>
        <v>192</v>
      </c>
      <c r="R483" s="26">
        <f>(D483-P483)/D483</f>
        <v>0.95655172413793099</v>
      </c>
      <c r="S483" s="41"/>
    </row>
    <row r="484" spans="1:19" ht="24.9" customHeight="1" x14ac:dyDescent="0.25">
      <c r="A484" s="33">
        <v>481</v>
      </c>
      <c r="B484" s="45" t="s">
        <v>132</v>
      </c>
      <c r="C484" s="35" t="s">
        <v>555</v>
      </c>
      <c r="D484" s="35">
        <v>5660</v>
      </c>
      <c r="E484" s="35" t="s">
        <v>250</v>
      </c>
      <c r="F484" s="36">
        <v>1505</v>
      </c>
      <c r="G484" s="36" t="s">
        <v>563</v>
      </c>
      <c r="H484" s="36">
        <v>3</v>
      </c>
      <c r="I484" s="13">
        <v>60</v>
      </c>
      <c r="J484" s="33">
        <v>3</v>
      </c>
      <c r="K484" s="39" t="s">
        <v>577</v>
      </c>
      <c r="L484" s="39">
        <v>1</v>
      </c>
      <c r="M484" s="33">
        <v>677.5</v>
      </c>
      <c r="N484" s="33" t="s">
        <v>563</v>
      </c>
      <c r="O484" s="38" t="s">
        <v>131</v>
      </c>
      <c r="P484" s="14">
        <f>D484-(F484+H484)*J484-M484-H484*L484</f>
        <v>455.5</v>
      </c>
      <c r="Q484" s="39">
        <f t="shared" si="10"/>
        <v>395.5</v>
      </c>
      <c r="R484" s="26">
        <f>(D484-P484)/D484</f>
        <v>0.91952296819787982</v>
      </c>
      <c r="S484" s="41" t="s">
        <v>492</v>
      </c>
    </row>
    <row r="485" spans="1:19" ht="24.9" customHeight="1" x14ac:dyDescent="0.25">
      <c r="A485" s="8">
        <v>482</v>
      </c>
      <c r="B485" s="18" t="s">
        <v>493</v>
      </c>
      <c r="C485" s="21" t="s">
        <v>358</v>
      </c>
      <c r="D485" s="21">
        <v>5700</v>
      </c>
      <c r="E485" s="21" t="s">
        <v>250</v>
      </c>
      <c r="F485" s="8">
        <v>1090</v>
      </c>
      <c r="G485" s="8" t="s">
        <v>563</v>
      </c>
      <c r="H485" s="13">
        <v>3</v>
      </c>
      <c r="I485" s="13">
        <v>60</v>
      </c>
      <c r="J485" s="8">
        <v>5</v>
      </c>
      <c r="K485" s="14" t="s">
        <v>498</v>
      </c>
      <c r="L485" s="14">
        <v>0</v>
      </c>
      <c r="M485" s="8">
        <v>0</v>
      </c>
      <c r="N485" s="8"/>
      <c r="O485" s="23"/>
      <c r="P485" s="14">
        <f>D485-(F485+H485)*J485-M485-H485*L485</f>
        <v>235</v>
      </c>
      <c r="Q485" s="10">
        <f>P485-58</f>
        <v>177</v>
      </c>
      <c r="R485" s="26">
        <f>(D485-P485)/D485</f>
        <v>0.95877192982456139</v>
      </c>
      <c r="S485" s="40" t="s">
        <v>494</v>
      </c>
    </row>
    <row r="486" spans="1:19" ht="24.9" customHeight="1" x14ac:dyDescent="0.25">
      <c r="A486" s="8">
        <v>483</v>
      </c>
      <c r="B486" s="6" t="s">
        <v>496</v>
      </c>
      <c r="C486" s="21" t="s">
        <v>555</v>
      </c>
      <c r="D486" s="21">
        <v>5500</v>
      </c>
      <c r="E486" s="21" t="s">
        <v>250</v>
      </c>
      <c r="F486" s="8">
        <v>1316</v>
      </c>
      <c r="G486" s="8" t="s">
        <v>563</v>
      </c>
      <c r="H486" s="13">
        <v>3</v>
      </c>
      <c r="I486" s="13">
        <v>60</v>
      </c>
      <c r="J486" s="8">
        <v>4</v>
      </c>
      <c r="K486" s="14" t="s">
        <v>251</v>
      </c>
      <c r="L486" s="14">
        <v>0</v>
      </c>
      <c r="M486" s="8">
        <v>0</v>
      </c>
      <c r="N486" s="22"/>
      <c r="O486" s="24"/>
      <c r="P486" s="14">
        <f>D486-(F486+H486)*J486-M486-H486*L486</f>
        <v>224</v>
      </c>
      <c r="Q486" s="10">
        <f t="shared" ref="Q486" si="11">P486-60</f>
        <v>164</v>
      </c>
      <c r="R486" s="26">
        <f>(D486-P486)/D486</f>
        <v>0.95927272727272728</v>
      </c>
      <c r="S486" s="40"/>
    </row>
    <row r="487" spans="1:19" ht="24.9" customHeight="1" x14ac:dyDescent="0.25">
      <c r="A487" s="8">
        <v>484</v>
      </c>
      <c r="B487" s="6" t="s">
        <v>497</v>
      </c>
      <c r="C487" s="21" t="s">
        <v>555</v>
      </c>
      <c r="D487" s="21">
        <v>6200</v>
      </c>
      <c r="E487" s="21" t="s">
        <v>250</v>
      </c>
      <c r="F487" s="8">
        <v>1137</v>
      </c>
      <c r="G487" s="8" t="s">
        <v>563</v>
      </c>
      <c r="H487" s="8">
        <v>3</v>
      </c>
      <c r="I487" s="13">
        <v>60</v>
      </c>
      <c r="J487" s="8">
        <v>4</v>
      </c>
      <c r="K487" s="14" t="s">
        <v>568</v>
      </c>
      <c r="L487" s="14">
        <v>1</v>
      </c>
      <c r="M487" s="8">
        <v>1505</v>
      </c>
      <c r="N487" s="8" t="s">
        <v>563</v>
      </c>
      <c r="O487" s="24"/>
      <c r="P487" s="14">
        <f>D487-(F487+H487)*J487-M487-H487*L487</f>
        <v>132</v>
      </c>
      <c r="Q487" s="10">
        <f t="shared" ref="Q487" si="12">P487-60</f>
        <v>72</v>
      </c>
      <c r="R487" s="26">
        <f>(D487-P487)/D487</f>
        <v>0.97870967741935488</v>
      </c>
      <c r="S487" s="40"/>
    </row>
    <row r="488" spans="1:19" ht="24.9" customHeight="1" x14ac:dyDescent="0.25">
      <c r="A488" s="8">
        <v>485</v>
      </c>
      <c r="B488" s="6" t="s">
        <v>499</v>
      </c>
      <c r="C488" s="21" t="s">
        <v>555</v>
      </c>
      <c r="D488" s="21">
        <v>6200</v>
      </c>
      <c r="E488" s="21" t="s">
        <v>250</v>
      </c>
      <c r="F488" s="8">
        <v>1127</v>
      </c>
      <c r="G488" s="8" t="s">
        <v>563</v>
      </c>
      <c r="H488" s="8">
        <v>3</v>
      </c>
      <c r="I488" s="13">
        <v>60</v>
      </c>
      <c r="J488" s="8">
        <v>4</v>
      </c>
      <c r="K488" s="14" t="s">
        <v>568</v>
      </c>
      <c r="L488" s="14">
        <v>1</v>
      </c>
      <c r="M488" s="8">
        <v>1505</v>
      </c>
      <c r="N488" s="8" t="s">
        <v>563</v>
      </c>
      <c r="O488" s="24"/>
      <c r="P488" s="14">
        <f>D488-(F488+H488)*J488-M488-H488*L488</f>
        <v>172</v>
      </c>
      <c r="Q488" s="10">
        <f t="shared" ref="Q488:Q489" si="13">P488-60</f>
        <v>112</v>
      </c>
      <c r="R488" s="26">
        <f>(D488-P488)/D488</f>
        <v>0.97225806451612906</v>
      </c>
      <c r="S488" s="40"/>
    </row>
    <row r="489" spans="1:19" ht="24.9" customHeight="1" x14ac:dyDescent="0.25">
      <c r="A489" s="8">
        <v>486</v>
      </c>
      <c r="B489" s="6" t="s">
        <v>500</v>
      </c>
      <c r="C489" s="21" t="s">
        <v>555</v>
      </c>
      <c r="D489" s="21">
        <v>5500</v>
      </c>
      <c r="E489" s="21" t="s">
        <v>250</v>
      </c>
      <c r="F489" s="8">
        <v>1331</v>
      </c>
      <c r="G489" s="8" t="s">
        <v>563</v>
      </c>
      <c r="H489" s="13">
        <v>3</v>
      </c>
      <c r="I489" s="13">
        <v>60</v>
      </c>
      <c r="J489" s="8">
        <v>4</v>
      </c>
      <c r="K489" s="14" t="s">
        <v>251</v>
      </c>
      <c r="L489" s="14">
        <v>0</v>
      </c>
      <c r="M489" s="8">
        <v>0</v>
      </c>
      <c r="N489" s="22"/>
      <c r="O489" s="24"/>
      <c r="P489" s="14">
        <f>D489-(F489+H489)*J489-M489-H489*L489</f>
        <v>164</v>
      </c>
      <c r="Q489" s="10">
        <f t="shared" si="13"/>
        <v>104</v>
      </c>
      <c r="R489" s="26">
        <f>(D489-P489)/D489</f>
        <v>0.97018181818181815</v>
      </c>
      <c r="S489" s="40"/>
    </row>
    <row r="490" spans="1:19" ht="24.9" customHeight="1" x14ac:dyDescent="0.25">
      <c r="A490" s="8">
        <v>487</v>
      </c>
      <c r="B490" s="6" t="s">
        <v>501</v>
      </c>
      <c r="C490" s="21" t="s">
        <v>555</v>
      </c>
      <c r="D490" s="21">
        <v>6200</v>
      </c>
      <c r="E490" s="21" t="s">
        <v>250</v>
      </c>
      <c r="F490" s="8">
        <v>1021</v>
      </c>
      <c r="G490" s="8" t="s">
        <v>563</v>
      </c>
      <c r="H490" s="13">
        <v>2</v>
      </c>
      <c r="I490" s="13">
        <v>60</v>
      </c>
      <c r="J490" s="8">
        <v>6</v>
      </c>
      <c r="K490" s="14" t="s">
        <v>251</v>
      </c>
      <c r="L490" s="14">
        <v>0</v>
      </c>
      <c r="M490" s="8">
        <v>0</v>
      </c>
      <c r="N490" s="22"/>
      <c r="O490" s="24"/>
      <c r="P490" s="14">
        <f>D490-(F490+H490)*J490-M490-H490*L490</f>
        <v>62</v>
      </c>
      <c r="Q490" s="10">
        <f>P490-60</f>
        <v>2</v>
      </c>
      <c r="R490" s="26">
        <f>(D490-P490)/D490</f>
        <v>0.99</v>
      </c>
      <c r="S490" s="40"/>
    </row>
    <row r="491" spans="1:19" ht="24.9" customHeight="1" x14ac:dyDescent="0.25">
      <c r="A491" s="8">
        <v>488</v>
      </c>
      <c r="B491" s="6" t="s">
        <v>502</v>
      </c>
      <c r="C491" s="21" t="s">
        <v>555</v>
      </c>
      <c r="D491" s="21">
        <v>5500</v>
      </c>
      <c r="E491" s="21" t="s">
        <v>250</v>
      </c>
      <c r="F491" s="8">
        <v>1243</v>
      </c>
      <c r="G491" s="8" t="s">
        <v>563</v>
      </c>
      <c r="H491" s="8">
        <v>3</v>
      </c>
      <c r="I491" s="13">
        <v>60</v>
      </c>
      <c r="J491" s="8">
        <v>3</v>
      </c>
      <c r="K491" s="14" t="s">
        <v>568</v>
      </c>
      <c r="L491" s="14">
        <v>1</v>
      </c>
      <c r="M491" s="8">
        <v>1505</v>
      </c>
      <c r="N491" s="8" t="s">
        <v>563</v>
      </c>
      <c r="O491" s="24"/>
      <c r="P491" s="14">
        <f>D491-(F491+H491)*J491-M491-H491*L491</f>
        <v>254</v>
      </c>
      <c r="Q491" s="10">
        <f>P491-60</f>
        <v>194</v>
      </c>
      <c r="R491" s="26">
        <f>(D491-P491)/D491</f>
        <v>0.95381818181818179</v>
      </c>
      <c r="S491" s="40"/>
    </row>
    <row r="492" spans="1:19" ht="24.9" customHeight="1" x14ac:dyDescent="0.25">
      <c r="A492" s="8">
        <v>489</v>
      </c>
      <c r="B492" s="6" t="s">
        <v>503</v>
      </c>
      <c r="C492" s="21" t="s">
        <v>555</v>
      </c>
      <c r="D492" s="21">
        <v>5660</v>
      </c>
      <c r="E492" s="21" t="s">
        <v>250</v>
      </c>
      <c r="F492" s="8">
        <v>1108</v>
      </c>
      <c r="G492" s="8" t="s">
        <v>563</v>
      </c>
      <c r="H492" s="13">
        <v>3</v>
      </c>
      <c r="I492" s="13">
        <v>60</v>
      </c>
      <c r="J492" s="8">
        <v>5</v>
      </c>
      <c r="K492" s="14" t="s">
        <v>251</v>
      </c>
      <c r="L492" s="14">
        <v>0</v>
      </c>
      <c r="M492" s="8">
        <v>0</v>
      </c>
      <c r="N492" s="22"/>
      <c r="O492" s="24"/>
      <c r="P492" s="14">
        <f>D492-(F492+H492)*J492-M492-H492*L492</f>
        <v>105</v>
      </c>
      <c r="Q492" s="10">
        <f t="shared" ref="Q492:Q493" si="14">P492-60</f>
        <v>45</v>
      </c>
      <c r="R492" s="26">
        <f>(D492-P492)/D492</f>
        <v>0.98144876325088337</v>
      </c>
      <c r="S492" s="40"/>
    </row>
    <row r="493" spans="1:19" ht="24.9" customHeight="1" x14ac:dyDescent="0.25">
      <c r="A493" s="8">
        <v>490</v>
      </c>
      <c r="B493" s="6" t="s">
        <v>423</v>
      </c>
      <c r="C493" s="21" t="s">
        <v>555</v>
      </c>
      <c r="D493" s="21">
        <v>5500</v>
      </c>
      <c r="E493" s="21" t="s">
        <v>250</v>
      </c>
      <c r="F493" s="8">
        <v>1313</v>
      </c>
      <c r="G493" s="8" t="s">
        <v>563</v>
      </c>
      <c r="H493" s="13">
        <v>3</v>
      </c>
      <c r="I493" s="13">
        <v>60</v>
      </c>
      <c r="J493" s="8">
        <v>4</v>
      </c>
      <c r="K493" s="14" t="s">
        <v>251</v>
      </c>
      <c r="L493" s="14">
        <v>0</v>
      </c>
      <c r="M493" s="8">
        <v>0</v>
      </c>
      <c r="N493" s="22"/>
      <c r="O493" s="24"/>
      <c r="P493" s="14">
        <f>D493-(F493+H493)*J493-M493-H493*L493</f>
        <v>236</v>
      </c>
      <c r="Q493" s="10">
        <f t="shared" si="14"/>
        <v>176</v>
      </c>
      <c r="R493" s="26">
        <f>(D493-P493)/D493</f>
        <v>0.9570909090909091</v>
      </c>
      <c r="S493" s="40"/>
    </row>
    <row r="494" spans="1:19" ht="24.9" customHeight="1" x14ac:dyDescent="0.25">
      <c r="A494" s="8">
        <v>491</v>
      </c>
      <c r="B494" s="6" t="s">
        <v>504</v>
      </c>
      <c r="C494" s="21" t="s">
        <v>555</v>
      </c>
      <c r="D494" s="21">
        <v>5500</v>
      </c>
      <c r="E494" s="21" t="s">
        <v>250</v>
      </c>
      <c r="F494" s="8">
        <v>1308</v>
      </c>
      <c r="G494" s="8" t="s">
        <v>563</v>
      </c>
      <c r="H494" s="13">
        <v>3</v>
      </c>
      <c r="I494" s="13">
        <v>60</v>
      </c>
      <c r="J494" s="8">
        <v>4</v>
      </c>
      <c r="K494" s="14" t="s">
        <v>251</v>
      </c>
      <c r="L494" s="14">
        <v>0</v>
      </c>
      <c r="M494" s="8">
        <v>0</v>
      </c>
      <c r="N494" s="22"/>
      <c r="O494" s="24"/>
      <c r="P494" s="14">
        <f>D494-(F494+H494)*J494-M494-H494*L494</f>
        <v>256</v>
      </c>
      <c r="Q494" s="10">
        <f t="shared" ref="Q494:Q497" si="15">P494-60</f>
        <v>196</v>
      </c>
      <c r="R494" s="26">
        <f>(D494-P494)/D494</f>
        <v>0.95345454545454544</v>
      </c>
      <c r="S494" s="41"/>
    </row>
    <row r="495" spans="1:19" ht="24.9" customHeight="1" x14ac:dyDescent="0.25">
      <c r="A495" s="8">
        <v>492</v>
      </c>
      <c r="B495" s="6" t="s">
        <v>505</v>
      </c>
      <c r="C495" s="21" t="s">
        <v>555</v>
      </c>
      <c r="D495" s="21">
        <v>6200</v>
      </c>
      <c r="E495" s="21" t="s">
        <v>250</v>
      </c>
      <c r="F495" s="8">
        <v>1103</v>
      </c>
      <c r="G495" s="8" t="s">
        <v>563</v>
      </c>
      <c r="H495" s="8">
        <v>3</v>
      </c>
      <c r="I495" s="13">
        <v>60</v>
      </c>
      <c r="J495" s="8">
        <v>4</v>
      </c>
      <c r="K495" s="14" t="s">
        <v>568</v>
      </c>
      <c r="L495" s="14">
        <v>1</v>
      </c>
      <c r="M495" s="8">
        <v>1505</v>
      </c>
      <c r="N495" s="8" t="s">
        <v>563</v>
      </c>
      <c r="O495" s="24"/>
      <c r="P495" s="14">
        <f>D495-(F495+H495)*J495-M495-H495*L495</f>
        <v>268</v>
      </c>
      <c r="Q495" s="10">
        <f t="shared" si="15"/>
        <v>208</v>
      </c>
      <c r="R495" s="26">
        <f>(D495-P495)/D495</f>
        <v>0.95677419354838711</v>
      </c>
      <c r="S495" s="41"/>
    </row>
    <row r="496" spans="1:19" ht="24.9" customHeight="1" x14ac:dyDescent="0.25">
      <c r="A496" s="8">
        <v>493</v>
      </c>
      <c r="B496" s="17" t="s">
        <v>506</v>
      </c>
      <c r="C496" s="21" t="s">
        <v>358</v>
      </c>
      <c r="D496" s="21">
        <v>6400</v>
      </c>
      <c r="E496" s="13" t="s">
        <v>261</v>
      </c>
      <c r="F496" s="16">
        <v>1255</v>
      </c>
      <c r="G496" s="16" t="s">
        <v>563</v>
      </c>
      <c r="H496" s="13">
        <v>3</v>
      </c>
      <c r="I496" s="13">
        <v>60</v>
      </c>
      <c r="J496" s="8">
        <v>5</v>
      </c>
      <c r="K496" s="14" t="s">
        <v>251</v>
      </c>
      <c r="L496" s="14">
        <v>0</v>
      </c>
      <c r="M496" s="8">
        <v>0</v>
      </c>
      <c r="N496" s="8"/>
      <c r="O496" s="24"/>
      <c r="P496" s="14">
        <f>D496-(F496+H496)*J496-M496-H496*L496</f>
        <v>110</v>
      </c>
      <c r="Q496" s="10">
        <f t="shared" si="15"/>
        <v>50</v>
      </c>
      <c r="R496" s="26">
        <f>(D496-P496)/D496</f>
        <v>0.98281249999999998</v>
      </c>
      <c r="S496" s="41"/>
    </row>
    <row r="497" spans="1:19" ht="24.9" customHeight="1" x14ac:dyDescent="0.25">
      <c r="A497" s="33">
        <v>494</v>
      </c>
      <c r="B497" s="34" t="s">
        <v>508</v>
      </c>
      <c r="C497" s="35" t="s">
        <v>555</v>
      </c>
      <c r="D497" s="35">
        <v>6200</v>
      </c>
      <c r="E497" s="35" t="s">
        <v>250</v>
      </c>
      <c r="F497" s="33">
        <v>1467</v>
      </c>
      <c r="G497" s="33" t="s">
        <v>563</v>
      </c>
      <c r="H497" s="13">
        <v>3</v>
      </c>
      <c r="I497" s="13">
        <v>60</v>
      </c>
      <c r="J497" s="33">
        <v>4</v>
      </c>
      <c r="K497" s="37" t="s">
        <v>251</v>
      </c>
      <c r="L497" s="14">
        <v>0</v>
      </c>
      <c r="M497" s="8">
        <v>0</v>
      </c>
      <c r="N497" s="46"/>
      <c r="O497" s="38" t="s">
        <v>509</v>
      </c>
      <c r="P497" s="14">
        <f>D497-(F497+H497)*J497-M497-H497*L497</f>
        <v>320</v>
      </c>
      <c r="Q497" s="39">
        <f t="shared" si="15"/>
        <v>260</v>
      </c>
      <c r="R497" s="26">
        <f>(D497-P497)/D497</f>
        <v>0.94838709677419353</v>
      </c>
      <c r="S497" s="41"/>
    </row>
    <row r="498" spans="1:19" ht="24.9" customHeight="1" x14ac:dyDescent="0.25">
      <c r="A498" s="33">
        <v>495</v>
      </c>
      <c r="B498" s="34" t="s">
        <v>510</v>
      </c>
      <c r="C498" s="35" t="s">
        <v>555</v>
      </c>
      <c r="D498" s="35">
        <v>6200</v>
      </c>
      <c r="E498" s="35" t="s">
        <v>250</v>
      </c>
      <c r="F498" s="33">
        <v>1202</v>
      </c>
      <c r="G498" s="33" t="s">
        <v>563</v>
      </c>
      <c r="H498" s="13">
        <v>3</v>
      </c>
      <c r="I498" s="13">
        <v>60</v>
      </c>
      <c r="J498" s="33">
        <v>5</v>
      </c>
      <c r="K498" s="37" t="s">
        <v>251</v>
      </c>
      <c r="L498" s="14">
        <v>0</v>
      </c>
      <c r="M498" s="8">
        <v>0</v>
      </c>
      <c r="N498" s="46"/>
      <c r="O498" s="38" t="s">
        <v>509</v>
      </c>
      <c r="P498" s="14">
        <f>D498-(F498+H498)*J498-M498-H498*L498</f>
        <v>175</v>
      </c>
      <c r="Q498" s="39">
        <f t="shared" ref="Q498:Q501" si="16">P498-60</f>
        <v>115</v>
      </c>
      <c r="R498" s="26">
        <f>(D498-P498)/D498</f>
        <v>0.97177419354838712</v>
      </c>
      <c r="S498" s="41"/>
    </row>
    <row r="499" spans="1:19" ht="24.9" customHeight="1" x14ac:dyDescent="0.25">
      <c r="A499" s="8">
        <v>496</v>
      </c>
      <c r="B499" s="6" t="s">
        <v>513</v>
      </c>
      <c r="C499" s="21" t="s">
        <v>556</v>
      </c>
      <c r="D499" s="21">
        <v>6100</v>
      </c>
      <c r="E499" s="13" t="s">
        <v>261</v>
      </c>
      <c r="F499" s="8">
        <v>483</v>
      </c>
      <c r="G499" s="8" t="s">
        <v>563</v>
      </c>
      <c r="H499" s="13">
        <v>3</v>
      </c>
      <c r="I499" s="13">
        <v>60</v>
      </c>
      <c r="J499" s="8">
        <v>12</v>
      </c>
      <c r="K499" s="14" t="s">
        <v>251</v>
      </c>
      <c r="L499" s="14">
        <v>0</v>
      </c>
      <c r="M499" s="8">
        <v>0</v>
      </c>
      <c r="N499" s="8"/>
      <c r="O499" s="23"/>
      <c r="P499" s="14">
        <f>D499-(F499+H499)*J499-M499-H499*L499</f>
        <v>268</v>
      </c>
      <c r="Q499" s="10">
        <f t="shared" si="16"/>
        <v>208</v>
      </c>
      <c r="R499" s="26">
        <f>(D499-P499)/D499</f>
        <v>0.95606557377049184</v>
      </c>
      <c r="S499" s="41"/>
    </row>
    <row r="500" spans="1:19" ht="24.9" customHeight="1" x14ac:dyDescent="0.25">
      <c r="A500" s="8">
        <v>497</v>
      </c>
      <c r="B500" s="6" t="s">
        <v>514</v>
      </c>
      <c r="C500" s="21" t="s">
        <v>555</v>
      </c>
      <c r="D500" s="21">
        <v>5660</v>
      </c>
      <c r="E500" s="21" t="s">
        <v>250</v>
      </c>
      <c r="F500" s="8">
        <v>692</v>
      </c>
      <c r="G500" s="8" t="s">
        <v>563</v>
      </c>
      <c r="H500" s="13">
        <v>3</v>
      </c>
      <c r="I500" s="13">
        <v>60</v>
      </c>
      <c r="J500" s="8">
        <v>8</v>
      </c>
      <c r="K500" s="14" t="s">
        <v>251</v>
      </c>
      <c r="L500" s="14">
        <v>0</v>
      </c>
      <c r="M500" s="8">
        <v>0</v>
      </c>
      <c r="N500" s="22"/>
      <c r="O500" s="24"/>
      <c r="P500" s="14">
        <f>D500-(F500+H500)*J500-M500-H500*L500</f>
        <v>100</v>
      </c>
      <c r="Q500" s="10">
        <f t="shared" si="16"/>
        <v>40</v>
      </c>
      <c r="R500" s="26">
        <f>(D500-P500)/D500</f>
        <v>0.98233215547703179</v>
      </c>
      <c r="S500" s="41"/>
    </row>
    <row r="501" spans="1:19" ht="24.9" customHeight="1" x14ac:dyDescent="0.25">
      <c r="A501" s="33">
        <v>498</v>
      </c>
      <c r="B501" s="45" t="s">
        <v>529</v>
      </c>
      <c r="C501" s="35" t="s">
        <v>357</v>
      </c>
      <c r="D501" s="35">
        <v>5800</v>
      </c>
      <c r="E501" s="35" t="s">
        <v>250</v>
      </c>
      <c r="F501" s="36">
        <v>1105</v>
      </c>
      <c r="G501" s="36" t="s">
        <v>563</v>
      </c>
      <c r="H501" s="13">
        <v>2</v>
      </c>
      <c r="I501" s="13">
        <v>60</v>
      </c>
      <c r="J501" s="33">
        <v>5</v>
      </c>
      <c r="K501" s="39" t="s">
        <v>251</v>
      </c>
      <c r="L501" s="14">
        <v>0</v>
      </c>
      <c r="M501" s="8">
        <v>0</v>
      </c>
      <c r="N501" s="46"/>
      <c r="O501" s="38" t="s">
        <v>131</v>
      </c>
      <c r="P501" s="14">
        <f>D501-(F501+H501)*J501-M501-H501*L501</f>
        <v>265</v>
      </c>
      <c r="Q501" s="39">
        <f t="shared" si="16"/>
        <v>205</v>
      </c>
      <c r="R501" s="26">
        <f>(D501-P501)/D501</f>
        <v>0.95431034482758625</v>
      </c>
      <c r="S501" s="41"/>
    </row>
    <row r="502" spans="1:19" ht="24.9" customHeight="1" x14ac:dyDescent="0.25">
      <c r="A502" s="33">
        <v>499</v>
      </c>
      <c r="B502" s="45" t="s">
        <v>264</v>
      </c>
      <c r="C502" s="35" t="s">
        <v>357</v>
      </c>
      <c r="D502" s="35">
        <v>5800</v>
      </c>
      <c r="E502" s="35" t="s">
        <v>250</v>
      </c>
      <c r="F502" s="36">
        <v>1417</v>
      </c>
      <c r="G502" s="36" t="s">
        <v>563</v>
      </c>
      <c r="H502" s="13">
        <v>2</v>
      </c>
      <c r="I502" s="13">
        <v>60</v>
      </c>
      <c r="J502" s="33">
        <v>4</v>
      </c>
      <c r="K502" s="39" t="s">
        <v>251</v>
      </c>
      <c r="L502" s="14">
        <v>0</v>
      </c>
      <c r="M502" s="8">
        <v>0</v>
      </c>
      <c r="N502" s="46"/>
      <c r="O502" s="38" t="s">
        <v>131</v>
      </c>
      <c r="P502" s="14">
        <f>D502-(F502+H502)*J502-M502-H502*L502</f>
        <v>124</v>
      </c>
      <c r="Q502" s="39">
        <f t="shared" ref="Q502:Q504" si="17">P502-60</f>
        <v>64</v>
      </c>
      <c r="R502" s="26">
        <f>(D502-P502)/D502</f>
        <v>0.97862068965517246</v>
      </c>
      <c r="S502" s="41"/>
    </row>
    <row r="503" spans="1:19" ht="24.9" customHeight="1" x14ac:dyDescent="0.25">
      <c r="A503" s="33">
        <v>500</v>
      </c>
      <c r="B503" s="45" t="s">
        <v>265</v>
      </c>
      <c r="C503" s="35" t="s">
        <v>357</v>
      </c>
      <c r="D503" s="35">
        <v>5800</v>
      </c>
      <c r="E503" s="35" t="s">
        <v>250</v>
      </c>
      <c r="F503" s="36">
        <v>1105</v>
      </c>
      <c r="G503" s="36" t="s">
        <v>563</v>
      </c>
      <c r="H503" s="13">
        <v>2</v>
      </c>
      <c r="I503" s="13">
        <v>60</v>
      </c>
      <c r="J503" s="33">
        <v>5</v>
      </c>
      <c r="K503" s="39" t="s">
        <v>251</v>
      </c>
      <c r="L503" s="14">
        <v>0</v>
      </c>
      <c r="M503" s="8">
        <v>0</v>
      </c>
      <c r="N503" s="46"/>
      <c r="O503" s="38" t="s">
        <v>131</v>
      </c>
      <c r="P503" s="14">
        <f>D503-(F503+H503)*J503-M503-H503*L503</f>
        <v>265</v>
      </c>
      <c r="Q503" s="39">
        <f t="shared" si="17"/>
        <v>205</v>
      </c>
      <c r="R503" s="26">
        <f>(D503-P503)/D503</f>
        <v>0.95431034482758625</v>
      </c>
      <c r="S503" s="41"/>
    </row>
    <row r="504" spans="1:19" ht="24.9" customHeight="1" x14ac:dyDescent="0.25">
      <c r="A504" s="8">
        <v>501</v>
      </c>
      <c r="B504" s="9" t="s">
        <v>517</v>
      </c>
      <c r="C504" s="21" t="s">
        <v>358</v>
      </c>
      <c r="D504" s="21">
        <v>5700</v>
      </c>
      <c r="E504" s="21" t="s">
        <v>250</v>
      </c>
      <c r="F504" s="13">
        <v>1105</v>
      </c>
      <c r="G504" s="13" t="s">
        <v>563</v>
      </c>
      <c r="H504" s="13">
        <v>3</v>
      </c>
      <c r="I504" s="13">
        <v>60</v>
      </c>
      <c r="J504" s="8">
        <v>5</v>
      </c>
      <c r="K504" s="14" t="s">
        <v>251</v>
      </c>
      <c r="L504" s="14">
        <v>0</v>
      </c>
      <c r="M504" s="8">
        <v>0</v>
      </c>
      <c r="N504" s="8"/>
      <c r="O504" s="23"/>
      <c r="P504" s="14">
        <f>D504-(F504+H504)*J504-M504-H504*L504</f>
        <v>160</v>
      </c>
      <c r="Q504" s="10">
        <f t="shared" si="17"/>
        <v>100</v>
      </c>
      <c r="R504" s="26">
        <f>(D504-P504)/D504</f>
        <v>0.97192982456140353</v>
      </c>
      <c r="S504" s="41"/>
    </row>
    <row r="505" spans="1:19" ht="24.9" customHeight="1" x14ac:dyDescent="0.25">
      <c r="A505" s="8">
        <v>502</v>
      </c>
      <c r="B505" s="9" t="s">
        <v>518</v>
      </c>
      <c r="C505" s="21" t="s">
        <v>358</v>
      </c>
      <c r="D505" s="21">
        <v>6300</v>
      </c>
      <c r="E505" s="21" t="s">
        <v>250</v>
      </c>
      <c r="F505" s="13">
        <v>1185</v>
      </c>
      <c r="G505" s="13" t="s">
        <v>563</v>
      </c>
      <c r="H505" s="13">
        <v>3</v>
      </c>
      <c r="I505" s="13">
        <v>60</v>
      </c>
      <c r="J505" s="8">
        <v>5</v>
      </c>
      <c r="K505" s="14" t="s">
        <v>251</v>
      </c>
      <c r="L505" s="14">
        <v>0</v>
      </c>
      <c r="M505" s="8">
        <v>0</v>
      </c>
      <c r="N505" s="8"/>
      <c r="O505" s="23"/>
      <c r="P505" s="14">
        <f>D505-(F505+H505)*J505-M505-H505*L505</f>
        <v>360</v>
      </c>
      <c r="Q505" s="10">
        <f t="shared" ref="Q505" si="18">P505-60</f>
        <v>300</v>
      </c>
      <c r="R505" s="26">
        <f>(D505-P505)/D505</f>
        <v>0.94285714285714284</v>
      </c>
      <c r="S505" s="41"/>
    </row>
    <row r="506" spans="1:19" ht="24.9" customHeight="1" x14ac:dyDescent="0.25">
      <c r="A506" s="8">
        <v>503</v>
      </c>
      <c r="B506" s="9" t="s">
        <v>519</v>
      </c>
      <c r="C506" s="21" t="s">
        <v>358</v>
      </c>
      <c r="D506" s="21">
        <v>5900</v>
      </c>
      <c r="E506" s="21" t="s">
        <v>250</v>
      </c>
      <c r="F506" s="13">
        <v>1133</v>
      </c>
      <c r="G506" s="13" t="s">
        <v>563</v>
      </c>
      <c r="H506" s="13">
        <v>3</v>
      </c>
      <c r="I506" s="13">
        <v>60</v>
      </c>
      <c r="J506" s="8">
        <v>5</v>
      </c>
      <c r="K506" s="14" t="s">
        <v>251</v>
      </c>
      <c r="L506" s="14">
        <v>0</v>
      </c>
      <c r="M506" s="8">
        <v>0</v>
      </c>
      <c r="N506" s="8"/>
      <c r="O506" s="23"/>
      <c r="P506" s="14">
        <f>D506-(F506+H506)*J506-M506-H506*L506</f>
        <v>220</v>
      </c>
      <c r="Q506" s="10">
        <f t="shared" ref="Q506:Q508" si="19">P506-60</f>
        <v>160</v>
      </c>
      <c r="R506" s="26">
        <f>(D506-P506)/D506</f>
        <v>0.96271186440677969</v>
      </c>
      <c r="S506" s="41"/>
    </row>
    <row r="507" spans="1:19" ht="24.9" customHeight="1" x14ac:dyDescent="0.25">
      <c r="A507" s="8">
        <v>504</v>
      </c>
      <c r="B507" s="4" t="s">
        <v>520</v>
      </c>
      <c r="C507" s="21" t="s">
        <v>358</v>
      </c>
      <c r="D507" s="21">
        <v>5900</v>
      </c>
      <c r="E507" s="21" t="s">
        <v>250</v>
      </c>
      <c r="F507" s="13">
        <v>1135</v>
      </c>
      <c r="G507" s="13" t="s">
        <v>563</v>
      </c>
      <c r="H507" s="13">
        <v>3</v>
      </c>
      <c r="I507" s="13">
        <v>60</v>
      </c>
      <c r="J507" s="8">
        <v>5</v>
      </c>
      <c r="K507" s="14" t="s">
        <v>251</v>
      </c>
      <c r="L507" s="14">
        <v>0</v>
      </c>
      <c r="M507" s="8">
        <v>0</v>
      </c>
      <c r="N507" s="8"/>
      <c r="O507" s="23"/>
      <c r="P507" s="14">
        <f>D507-(F507+H507)*J507-M507-H507*L507</f>
        <v>210</v>
      </c>
      <c r="Q507" s="10">
        <f t="shared" si="19"/>
        <v>150</v>
      </c>
      <c r="R507" s="26">
        <f>(D507-P507)/D507</f>
        <v>0.96440677966101696</v>
      </c>
      <c r="S507" s="41"/>
    </row>
    <row r="508" spans="1:19" ht="24.9" customHeight="1" x14ac:dyDescent="0.25">
      <c r="A508" s="8">
        <v>505</v>
      </c>
      <c r="B508" s="12" t="s">
        <v>521</v>
      </c>
      <c r="C508" s="21" t="s">
        <v>357</v>
      </c>
      <c r="D508" s="21">
        <v>6100</v>
      </c>
      <c r="E508" s="21" t="s">
        <v>250</v>
      </c>
      <c r="F508" s="13">
        <v>642</v>
      </c>
      <c r="G508" s="13" t="s">
        <v>563</v>
      </c>
      <c r="H508" s="13">
        <v>2</v>
      </c>
      <c r="I508" s="13">
        <v>60</v>
      </c>
      <c r="J508" s="8">
        <v>9</v>
      </c>
      <c r="K508" s="10" t="s">
        <v>251</v>
      </c>
      <c r="L508" s="14">
        <v>0</v>
      </c>
      <c r="M508" s="8">
        <v>0</v>
      </c>
      <c r="N508" s="22"/>
      <c r="O508" s="23" t="s">
        <v>522</v>
      </c>
      <c r="P508" s="14">
        <f>D508-(F508+H508)*J508-M508-H508*L508</f>
        <v>304</v>
      </c>
      <c r="Q508" s="10">
        <f t="shared" si="19"/>
        <v>244</v>
      </c>
      <c r="R508" s="26">
        <f>(D508-P508)/D508</f>
        <v>0.95016393442622948</v>
      </c>
      <c r="S508" s="41"/>
    </row>
    <row r="509" spans="1:19" ht="24.9" customHeight="1" x14ac:dyDescent="0.25">
      <c r="A509" s="8">
        <v>506</v>
      </c>
      <c r="B509" s="12" t="s">
        <v>523</v>
      </c>
      <c r="C509" s="21" t="s">
        <v>357</v>
      </c>
      <c r="D509" s="21">
        <v>6100</v>
      </c>
      <c r="E509" s="21" t="s">
        <v>250</v>
      </c>
      <c r="F509" s="13">
        <v>666</v>
      </c>
      <c r="G509" s="13" t="s">
        <v>563</v>
      </c>
      <c r="H509" s="13">
        <v>2</v>
      </c>
      <c r="I509" s="13">
        <v>60</v>
      </c>
      <c r="J509" s="8">
        <v>9</v>
      </c>
      <c r="K509" s="10" t="s">
        <v>251</v>
      </c>
      <c r="L509" s="14">
        <v>0</v>
      </c>
      <c r="M509" s="8">
        <v>0</v>
      </c>
      <c r="N509" s="22"/>
      <c r="O509" s="23" t="s">
        <v>522</v>
      </c>
      <c r="P509" s="14">
        <f>D509-(F509+H509)*J509-M509-H509*L509</f>
        <v>88</v>
      </c>
      <c r="Q509" s="10">
        <f t="shared" ref="Q509" si="20">P509-60</f>
        <v>28</v>
      </c>
      <c r="R509" s="26">
        <f>(D509-P509)/D509</f>
        <v>0.98557377049180328</v>
      </c>
      <c r="S509" s="41"/>
    </row>
    <row r="510" spans="1:19" ht="24.9" customHeight="1" x14ac:dyDescent="0.25">
      <c r="A510" s="47">
        <v>507</v>
      </c>
      <c r="B510" s="54" t="s">
        <v>127</v>
      </c>
      <c r="C510" s="48" t="s">
        <v>357</v>
      </c>
      <c r="D510" s="48">
        <v>6300</v>
      </c>
      <c r="E510" s="48" t="s">
        <v>250</v>
      </c>
      <c r="F510" s="49">
        <v>1209</v>
      </c>
      <c r="G510" s="49" t="s">
        <v>563</v>
      </c>
      <c r="H510" s="13">
        <v>2</v>
      </c>
      <c r="I510" s="13">
        <v>60</v>
      </c>
      <c r="J510" s="47">
        <v>5</v>
      </c>
      <c r="K510" s="51" t="s">
        <v>251</v>
      </c>
      <c r="L510" s="14">
        <v>0</v>
      </c>
      <c r="M510" s="8">
        <v>0</v>
      </c>
      <c r="N510" s="47"/>
      <c r="O510" s="53" t="s">
        <v>106</v>
      </c>
      <c r="P510" s="14">
        <f>D510-(F510+H510)*J510-M510-H510*L510</f>
        <v>245</v>
      </c>
      <c r="Q510" s="52">
        <f>P510-45</f>
        <v>200</v>
      </c>
      <c r="R510" s="26">
        <f>(D510-P510)/D510</f>
        <v>0.96111111111111114</v>
      </c>
      <c r="S510" s="41"/>
    </row>
    <row r="511" spans="1:19" ht="24.9" customHeight="1" x14ac:dyDescent="0.25">
      <c r="A511" s="8">
        <v>508</v>
      </c>
      <c r="B511" s="17" t="s">
        <v>524</v>
      </c>
      <c r="C511" s="21" t="s">
        <v>358</v>
      </c>
      <c r="D511" s="21">
        <v>6300</v>
      </c>
      <c r="E511" s="13" t="s">
        <v>261</v>
      </c>
      <c r="F511" s="16">
        <v>1035</v>
      </c>
      <c r="G511" s="16" t="s">
        <v>563</v>
      </c>
      <c r="H511" s="13">
        <v>3</v>
      </c>
      <c r="I511" s="13">
        <v>60</v>
      </c>
      <c r="J511" s="8">
        <v>6</v>
      </c>
      <c r="K511" s="14" t="s">
        <v>286</v>
      </c>
      <c r="L511" s="14">
        <v>0</v>
      </c>
      <c r="M511" s="8">
        <v>0</v>
      </c>
      <c r="N511" s="8"/>
      <c r="O511" s="24"/>
      <c r="P511" s="14">
        <f>D511-(F511+H511)*J511-M511-H511*L511</f>
        <v>72</v>
      </c>
      <c r="Q511" s="10">
        <f t="shared" ref="Q511:Q513" si="21">P511-60</f>
        <v>12</v>
      </c>
      <c r="R511" s="26">
        <f>(D511-P511)/D511</f>
        <v>0.98857142857142855</v>
      </c>
      <c r="S511" s="41"/>
    </row>
    <row r="512" spans="1:19" ht="24.9" customHeight="1" x14ac:dyDescent="0.25">
      <c r="A512" s="8">
        <v>509</v>
      </c>
      <c r="B512" s="17" t="s">
        <v>506</v>
      </c>
      <c r="C512" s="21" t="s">
        <v>358</v>
      </c>
      <c r="D512" s="21">
        <v>6400</v>
      </c>
      <c r="E512" s="13" t="s">
        <v>261</v>
      </c>
      <c r="F512" s="16">
        <v>1255</v>
      </c>
      <c r="G512" s="16" t="s">
        <v>563</v>
      </c>
      <c r="H512" s="13">
        <v>3</v>
      </c>
      <c r="I512" s="13">
        <v>60</v>
      </c>
      <c r="J512" s="8">
        <v>5</v>
      </c>
      <c r="K512" s="14" t="s">
        <v>251</v>
      </c>
      <c r="L512" s="14">
        <v>0</v>
      </c>
      <c r="M512" s="8">
        <v>0</v>
      </c>
      <c r="N512" s="8"/>
      <c r="O512" s="24"/>
      <c r="P512" s="14">
        <f>D512-(F512+H512)*J512-M512-H512*L512</f>
        <v>110</v>
      </c>
      <c r="Q512" s="10">
        <f t="shared" si="21"/>
        <v>50</v>
      </c>
      <c r="R512" s="26">
        <f>(D512-P512)/D512</f>
        <v>0.98281249999999998</v>
      </c>
      <c r="S512" s="41"/>
    </row>
    <row r="513" spans="1:19" ht="24.9" customHeight="1" x14ac:dyDescent="0.25">
      <c r="A513" s="33">
        <v>510</v>
      </c>
      <c r="B513" s="45" t="s">
        <v>525</v>
      </c>
      <c r="C513" s="35" t="s">
        <v>357</v>
      </c>
      <c r="D513" s="35">
        <v>5800</v>
      </c>
      <c r="E513" s="35" t="s">
        <v>250</v>
      </c>
      <c r="F513" s="36">
        <v>1130</v>
      </c>
      <c r="G513" s="36" t="s">
        <v>563</v>
      </c>
      <c r="H513" s="13">
        <v>2</v>
      </c>
      <c r="I513" s="13">
        <v>60</v>
      </c>
      <c r="J513" s="33">
        <v>5</v>
      </c>
      <c r="K513" s="39" t="s">
        <v>251</v>
      </c>
      <c r="L513" s="14">
        <v>0</v>
      </c>
      <c r="M513" s="8">
        <v>0</v>
      </c>
      <c r="N513" s="46"/>
      <c r="O513" s="38" t="s">
        <v>131</v>
      </c>
      <c r="P513" s="14">
        <f>D513-(F513+H513)*J513-M513-H513*L513</f>
        <v>140</v>
      </c>
      <c r="Q513" s="39">
        <f t="shared" si="21"/>
        <v>80</v>
      </c>
      <c r="R513" s="26">
        <f>(D513-P513)/D513</f>
        <v>0.97586206896551719</v>
      </c>
      <c r="S513" s="41"/>
    </row>
    <row r="514" spans="1:19" ht="24.9" customHeight="1" x14ac:dyDescent="0.25">
      <c r="A514" s="33">
        <v>511</v>
      </c>
      <c r="B514" s="45" t="s">
        <v>531</v>
      </c>
      <c r="C514" s="35" t="s">
        <v>357</v>
      </c>
      <c r="D514" s="35">
        <v>5800</v>
      </c>
      <c r="E514" s="35" t="s">
        <v>250</v>
      </c>
      <c r="F514" s="36">
        <v>1395</v>
      </c>
      <c r="G514" s="36" t="s">
        <v>563</v>
      </c>
      <c r="H514" s="13">
        <v>2</v>
      </c>
      <c r="I514" s="13">
        <v>60</v>
      </c>
      <c r="J514" s="33">
        <v>4</v>
      </c>
      <c r="K514" s="39" t="s">
        <v>251</v>
      </c>
      <c r="L514" s="14">
        <v>0</v>
      </c>
      <c r="M514" s="8">
        <v>0</v>
      </c>
      <c r="N514" s="46"/>
      <c r="O514" s="38" t="s">
        <v>131</v>
      </c>
      <c r="P514" s="14">
        <f>D514-(F514+H514)*J514-M514-H514*L514</f>
        <v>212</v>
      </c>
      <c r="Q514" s="39">
        <f t="shared" ref="Q514" si="22">P514-60</f>
        <v>152</v>
      </c>
      <c r="R514" s="26">
        <f>(D514-P514)/D514</f>
        <v>0.96344827586206894</v>
      </c>
      <c r="S514" s="41"/>
    </row>
    <row r="515" spans="1:19" ht="24.9" customHeight="1" x14ac:dyDescent="0.25">
      <c r="A515" s="33">
        <v>512</v>
      </c>
      <c r="B515" s="45" t="s">
        <v>532</v>
      </c>
      <c r="C515" s="35" t="s">
        <v>357</v>
      </c>
      <c r="D515" s="35">
        <v>6100</v>
      </c>
      <c r="E515" s="35" t="s">
        <v>250</v>
      </c>
      <c r="F515" s="36">
        <v>1438</v>
      </c>
      <c r="G515" s="36" t="s">
        <v>563</v>
      </c>
      <c r="H515" s="13">
        <v>2</v>
      </c>
      <c r="I515" s="13">
        <v>60</v>
      </c>
      <c r="J515" s="33">
        <v>4</v>
      </c>
      <c r="K515" s="39" t="s">
        <v>251</v>
      </c>
      <c r="L515" s="14">
        <v>0</v>
      </c>
      <c r="M515" s="8">
        <v>0</v>
      </c>
      <c r="N515" s="46"/>
      <c r="O515" s="38" t="s">
        <v>317</v>
      </c>
      <c r="P515" s="14">
        <f>D515-(F515+H515)*J515-M515-H515*L515</f>
        <v>340</v>
      </c>
      <c r="Q515" s="39"/>
      <c r="R515" s="26">
        <f>(D515-P515)/D515</f>
        <v>0.94426229508196724</v>
      </c>
      <c r="S515" s="41"/>
    </row>
    <row r="516" spans="1:19" ht="24.9" customHeight="1" x14ac:dyDescent="0.25">
      <c r="A516" s="33">
        <v>513</v>
      </c>
      <c r="B516" s="45" t="s">
        <v>533</v>
      </c>
      <c r="C516" s="35" t="s">
        <v>357</v>
      </c>
      <c r="D516" s="35">
        <v>5800</v>
      </c>
      <c r="E516" s="35" t="s">
        <v>250</v>
      </c>
      <c r="F516" s="36">
        <v>1401</v>
      </c>
      <c r="G516" s="36" t="s">
        <v>563</v>
      </c>
      <c r="H516" s="13">
        <v>2</v>
      </c>
      <c r="I516" s="13">
        <v>60</v>
      </c>
      <c r="J516" s="33">
        <v>4</v>
      </c>
      <c r="K516" s="39" t="s">
        <v>251</v>
      </c>
      <c r="L516" s="14">
        <v>0</v>
      </c>
      <c r="M516" s="8">
        <v>0</v>
      </c>
      <c r="N516" s="46"/>
      <c r="O516" s="38" t="s">
        <v>317</v>
      </c>
      <c r="P516" s="14">
        <f>D516-(F516+H516)*J516-M516-H516*L516</f>
        <v>188</v>
      </c>
      <c r="Q516" s="39"/>
      <c r="R516" s="26">
        <f>(D516-P516)/D516</f>
        <v>0.96758620689655173</v>
      </c>
      <c r="S516" s="41"/>
    </row>
    <row r="517" spans="1:19" ht="24.9" customHeight="1" x14ac:dyDescent="0.25">
      <c r="A517" s="8">
        <v>514</v>
      </c>
      <c r="B517" s="6" t="s">
        <v>534</v>
      </c>
      <c r="C517" s="21" t="s">
        <v>358</v>
      </c>
      <c r="D517" s="21">
        <v>5900</v>
      </c>
      <c r="E517" s="21" t="s">
        <v>250</v>
      </c>
      <c r="F517" s="13">
        <v>1148</v>
      </c>
      <c r="G517" s="13" t="s">
        <v>563</v>
      </c>
      <c r="H517" s="13">
        <v>3</v>
      </c>
      <c r="I517" s="13">
        <v>60</v>
      </c>
      <c r="J517" s="8">
        <v>5</v>
      </c>
      <c r="K517" s="10" t="s">
        <v>251</v>
      </c>
      <c r="L517" s="14">
        <v>0</v>
      </c>
      <c r="M517" s="8">
        <v>0</v>
      </c>
      <c r="N517" s="22"/>
      <c r="O517" s="24"/>
      <c r="P517" s="14">
        <f>D517-(F517+H517)*J517-M517-H517*L517</f>
        <v>145</v>
      </c>
      <c r="Q517" s="10">
        <f t="shared" ref="Q517:Q523" si="23">P517-60</f>
        <v>85</v>
      </c>
      <c r="R517" s="26">
        <f>(D517-P517)/D517</f>
        <v>0.97542372881355932</v>
      </c>
      <c r="S517" s="41"/>
    </row>
    <row r="518" spans="1:19" ht="24.9" customHeight="1" x14ac:dyDescent="0.25">
      <c r="A518" s="8">
        <v>515</v>
      </c>
      <c r="B518" s="4" t="s">
        <v>212</v>
      </c>
      <c r="C518" s="21" t="s">
        <v>555</v>
      </c>
      <c r="D518" s="21">
        <v>5660</v>
      </c>
      <c r="E518" s="21" t="s">
        <v>250</v>
      </c>
      <c r="F518" s="8">
        <v>698.5</v>
      </c>
      <c r="G518" s="8" t="s">
        <v>563</v>
      </c>
      <c r="H518" s="13">
        <v>2</v>
      </c>
      <c r="I518" s="13">
        <v>60</v>
      </c>
      <c r="J518" s="8">
        <v>8</v>
      </c>
      <c r="K518" s="14" t="s">
        <v>251</v>
      </c>
      <c r="L518" s="14">
        <v>0</v>
      </c>
      <c r="M518" s="8">
        <v>0</v>
      </c>
      <c r="N518" s="8"/>
      <c r="O518" s="23" t="s">
        <v>22</v>
      </c>
      <c r="P518" s="14">
        <f>D518-(F518+H518)*J518-M518-H518*L518</f>
        <v>56</v>
      </c>
      <c r="Q518" s="10">
        <f>P518-56</f>
        <v>0</v>
      </c>
      <c r="R518" s="26">
        <f>(D518-P518)/D518</f>
        <v>0.99010600706713781</v>
      </c>
      <c r="S518" s="41"/>
    </row>
    <row r="519" spans="1:19" ht="24.9" customHeight="1" x14ac:dyDescent="0.25">
      <c r="A519" s="8">
        <v>516</v>
      </c>
      <c r="B519" s="4" t="s">
        <v>213</v>
      </c>
      <c r="C519" s="21" t="s">
        <v>555</v>
      </c>
      <c r="D519" s="21">
        <v>6200</v>
      </c>
      <c r="E519" s="21" t="s">
        <v>250</v>
      </c>
      <c r="F519" s="8">
        <v>644.5</v>
      </c>
      <c r="G519" s="8" t="s">
        <v>563</v>
      </c>
      <c r="H519" s="13">
        <v>2</v>
      </c>
      <c r="I519" s="13">
        <v>60</v>
      </c>
      <c r="J519" s="8">
        <v>9</v>
      </c>
      <c r="K519" s="28" t="s">
        <v>286</v>
      </c>
      <c r="L519" s="14">
        <v>0</v>
      </c>
      <c r="M519" s="8">
        <v>0</v>
      </c>
      <c r="N519" s="8"/>
      <c r="O519" s="23" t="s">
        <v>22</v>
      </c>
      <c r="P519" s="14">
        <f>D519-(F519+H519)*J519-M519-H519*L519</f>
        <v>381.5</v>
      </c>
      <c r="Q519" s="10">
        <f t="shared" si="23"/>
        <v>321.5</v>
      </c>
      <c r="R519" s="26">
        <f>(D519-P519)/D519</f>
        <v>0.93846774193548388</v>
      </c>
      <c r="S519" s="41"/>
    </row>
    <row r="520" spans="1:19" ht="24.9" customHeight="1" x14ac:dyDescent="0.25">
      <c r="A520" s="33">
        <v>517</v>
      </c>
      <c r="B520" s="45" t="s">
        <v>536</v>
      </c>
      <c r="C520" s="35" t="s">
        <v>357</v>
      </c>
      <c r="D520" s="35">
        <v>5800</v>
      </c>
      <c r="E520" s="35" t="s">
        <v>250</v>
      </c>
      <c r="F520" s="36">
        <v>1421</v>
      </c>
      <c r="G520" s="36" t="s">
        <v>563</v>
      </c>
      <c r="H520" s="13">
        <v>2</v>
      </c>
      <c r="I520" s="13">
        <v>60</v>
      </c>
      <c r="J520" s="33">
        <v>4</v>
      </c>
      <c r="K520" s="39" t="s">
        <v>251</v>
      </c>
      <c r="L520" s="14">
        <v>0</v>
      </c>
      <c r="M520" s="8">
        <v>0</v>
      </c>
      <c r="N520" s="46"/>
      <c r="O520" s="38" t="s">
        <v>131</v>
      </c>
      <c r="P520" s="14">
        <f>D520-(F520+H520)*J520-M520-H520*L520</f>
        <v>108</v>
      </c>
      <c r="Q520" s="39">
        <f t="shared" si="23"/>
        <v>48</v>
      </c>
      <c r="R520" s="26">
        <f>(D520-P520)/D520</f>
        <v>0.98137931034482762</v>
      </c>
      <c r="S520" s="41"/>
    </row>
    <row r="521" spans="1:19" ht="24.9" customHeight="1" x14ac:dyDescent="0.25">
      <c r="A521" s="33">
        <v>518</v>
      </c>
      <c r="B521" s="45" t="s">
        <v>537</v>
      </c>
      <c r="C521" s="35" t="s">
        <v>357</v>
      </c>
      <c r="D521" s="35">
        <v>5800</v>
      </c>
      <c r="E521" s="35" t="s">
        <v>250</v>
      </c>
      <c r="F521" s="36">
        <v>1110</v>
      </c>
      <c r="G521" s="36" t="s">
        <v>563</v>
      </c>
      <c r="H521" s="13">
        <v>2</v>
      </c>
      <c r="I521" s="13">
        <v>60</v>
      </c>
      <c r="J521" s="33">
        <v>5</v>
      </c>
      <c r="K521" s="39" t="s">
        <v>251</v>
      </c>
      <c r="L521" s="14">
        <v>0</v>
      </c>
      <c r="M521" s="8">
        <v>0</v>
      </c>
      <c r="N521" s="46"/>
      <c r="O521" s="38" t="s">
        <v>131</v>
      </c>
      <c r="P521" s="14">
        <f>D521-(F521+H521)*J521-M521-H521*L521</f>
        <v>240</v>
      </c>
      <c r="Q521" s="39">
        <f t="shared" si="23"/>
        <v>180</v>
      </c>
      <c r="R521" s="26">
        <f>(D521-P521)/D521</f>
        <v>0.95862068965517244</v>
      </c>
      <c r="S521" s="41"/>
    </row>
    <row r="522" spans="1:19" ht="24.75" customHeight="1" x14ac:dyDescent="0.25">
      <c r="A522" s="33">
        <v>519</v>
      </c>
      <c r="B522" s="45" t="s">
        <v>32</v>
      </c>
      <c r="C522" s="35" t="s">
        <v>555</v>
      </c>
      <c r="D522" s="35">
        <v>5660</v>
      </c>
      <c r="E522" s="35" t="s">
        <v>250</v>
      </c>
      <c r="F522" s="36">
        <v>1370</v>
      </c>
      <c r="G522" s="36" t="s">
        <v>563</v>
      </c>
      <c r="H522" s="13">
        <v>3</v>
      </c>
      <c r="I522" s="13">
        <v>60</v>
      </c>
      <c r="J522" s="33">
        <v>4</v>
      </c>
      <c r="K522" s="39" t="s">
        <v>251</v>
      </c>
      <c r="L522" s="14">
        <v>0</v>
      </c>
      <c r="M522" s="8">
        <v>0</v>
      </c>
      <c r="N522" s="46"/>
      <c r="O522" s="38" t="s">
        <v>131</v>
      </c>
      <c r="P522" s="14">
        <f>D522-(F522+H522)*J522-M522-H522*L522</f>
        <v>168</v>
      </c>
      <c r="Q522" s="39">
        <f t="shared" si="23"/>
        <v>108</v>
      </c>
      <c r="R522" s="26">
        <f>(D522-P522)/D522</f>
        <v>0.97031802120141342</v>
      </c>
      <c r="S522" s="41"/>
    </row>
    <row r="523" spans="1:19" ht="24.75" customHeight="1" x14ac:dyDescent="0.25">
      <c r="A523" s="33">
        <v>520</v>
      </c>
      <c r="B523" s="45" t="s">
        <v>538</v>
      </c>
      <c r="C523" s="35" t="s">
        <v>357</v>
      </c>
      <c r="D523" s="35">
        <v>5800</v>
      </c>
      <c r="E523" s="35" t="s">
        <v>250</v>
      </c>
      <c r="F523" s="36">
        <v>1382</v>
      </c>
      <c r="G523" s="36" t="s">
        <v>563</v>
      </c>
      <c r="H523" s="13">
        <v>2</v>
      </c>
      <c r="I523" s="13">
        <v>60</v>
      </c>
      <c r="J523" s="33">
        <v>4</v>
      </c>
      <c r="K523" s="39" t="s">
        <v>251</v>
      </c>
      <c r="L523" s="14">
        <v>0</v>
      </c>
      <c r="M523" s="8">
        <v>0</v>
      </c>
      <c r="N523" s="46"/>
      <c r="O523" s="38" t="s">
        <v>131</v>
      </c>
      <c r="P523" s="14">
        <f>D523-(F523+H523)*J523-M523-H523*L523</f>
        <v>264</v>
      </c>
      <c r="Q523" s="39">
        <f t="shared" si="23"/>
        <v>204</v>
      </c>
      <c r="R523" s="26">
        <f>(D523-P523)/D523</f>
        <v>0.95448275862068965</v>
      </c>
      <c r="S523" s="41"/>
    </row>
    <row r="524" spans="1:19" ht="24.75" customHeight="1" x14ac:dyDescent="0.25">
      <c r="A524" s="33">
        <v>521</v>
      </c>
      <c r="B524" s="45" t="s">
        <v>539</v>
      </c>
      <c r="C524" s="35" t="s">
        <v>357</v>
      </c>
      <c r="D524" s="35">
        <v>5800</v>
      </c>
      <c r="E524" s="35" t="s">
        <v>250</v>
      </c>
      <c r="F524" s="36">
        <v>1143</v>
      </c>
      <c r="G524" s="36" t="s">
        <v>563</v>
      </c>
      <c r="H524" s="13">
        <v>2</v>
      </c>
      <c r="I524" s="13">
        <v>60</v>
      </c>
      <c r="J524" s="33">
        <v>5</v>
      </c>
      <c r="K524" s="39" t="s">
        <v>251</v>
      </c>
      <c r="L524" s="14">
        <v>0</v>
      </c>
      <c r="M524" s="8">
        <v>0</v>
      </c>
      <c r="N524" s="46"/>
      <c r="O524" s="38" t="s">
        <v>131</v>
      </c>
      <c r="P524" s="14">
        <f>D524-(F524+H524)*J524-M524-H524*L524</f>
        <v>75</v>
      </c>
      <c r="Q524" s="39">
        <f t="shared" ref="Q524:Q529" si="24">P524-60</f>
        <v>15</v>
      </c>
      <c r="R524" s="26">
        <f>(D524-P524)/D524</f>
        <v>0.98706896551724133</v>
      </c>
      <c r="S524" s="41"/>
    </row>
    <row r="525" spans="1:19" ht="24.75" customHeight="1" x14ac:dyDescent="0.25">
      <c r="A525" s="33">
        <v>522</v>
      </c>
      <c r="B525" s="42" t="s">
        <v>540</v>
      </c>
      <c r="C525" s="35" t="s">
        <v>357</v>
      </c>
      <c r="D525" s="35">
        <v>6100</v>
      </c>
      <c r="E525" s="36" t="s">
        <v>261</v>
      </c>
      <c r="F525" s="33">
        <v>1365</v>
      </c>
      <c r="G525" s="33" t="s">
        <v>563</v>
      </c>
      <c r="H525" s="33">
        <v>2</v>
      </c>
      <c r="I525" s="13">
        <v>60</v>
      </c>
      <c r="J525" s="33">
        <v>4</v>
      </c>
      <c r="K525" s="39" t="s">
        <v>377</v>
      </c>
      <c r="L525" s="39">
        <v>1</v>
      </c>
      <c r="M525" s="33">
        <v>560</v>
      </c>
      <c r="N525" s="33" t="s">
        <v>563</v>
      </c>
      <c r="O525" s="38" t="s">
        <v>317</v>
      </c>
      <c r="P525" s="14">
        <f>D525-(F525+H525)*J525-M525-H525*L525</f>
        <v>70</v>
      </c>
      <c r="Q525" s="39">
        <f t="shared" si="24"/>
        <v>10</v>
      </c>
      <c r="R525" s="26">
        <f>(D525-P525)/D525</f>
        <v>0.98852459016393446</v>
      </c>
      <c r="S525" s="41"/>
    </row>
    <row r="526" spans="1:19" ht="24.75" customHeight="1" x14ac:dyDescent="0.25">
      <c r="A526" s="33">
        <v>523</v>
      </c>
      <c r="B526" s="42" t="s">
        <v>541</v>
      </c>
      <c r="C526" s="35" t="s">
        <v>357</v>
      </c>
      <c r="D526" s="35">
        <v>5800</v>
      </c>
      <c r="E526" s="36" t="s">
        <v>261</v>
      </c>
      <c r="F526" s="33">
        <v>1383</v>
      </c>
      <c r="G526" s="33" t="s">
        <v>563</v>
      </c>
      <c r="H526" s="13">
        <v>2</v>
      </c>
      <c r="I526" s="13">
        <v>60</v>
      </c>
      <c r="J526" s="33">
        <v>4</v>
      </c>
      <c r="K526" s="39" t="s">
        <v>251</v>
      </c>
      <c r="L526" s="14">
        <v>0</v>
      </c>
      <c r="M526" s="8">
        <v>0</v>
      </c>
      <c r="N526" s="33"/>
      <c r="O526" s="38" t="s">
        <v>317</v>
      </c>
      <c r="P526" s="14">
        <f>D526-(F526+H526)*J526-M526-H526*L526</f>
        <v>260</v>
      </c>
      <c r="Q526" s="39">
        <f t="shared" si="24"/>
        <v>200</v>
      </c>
      <c r="R526" s="26">
        <f>(D526-P526)/D526</f>
        <v>0.95517241379310347</v>
      </c>
      <c r="S526" s="41"/>
    </row>
    <row r="527" spans="1:19" ht="24.75" customHeight="1" x14ac:dyDescent="0.25">
      <c r="A527" s="8">
        <v>524</v>
      </c>
      <c r="B527" s="4" t="s">
        <v>542</v>
      </c>
      <c r="C527" s="21" t="s">
        <v>359</v>
      </c>
      <c r="D527" s="21">
        <v>6500</v>
      </c>
      <c r="E527" s="21" t="s">
        <v>250</v>
      </c>
      <c r="F527" s="8">
        <v>1345</v>
      </c>
      <c r="G527" s="8" t="s">
        <v>563</v>
      </c>
      <c r="H527" s="8">
        <v>2</v>
      </c>
      <c r="I527" s="13">
        <v>60</v>
      </c>
      <c r="J527" s="8">
        <v>4</v>
      </c>
      <c r="K527" s="10" t="s">
        <v>347</v>
      </c>
      <c r="L527" s="10">
        <v>1</v>
      </c>
      <c r="M527" s="8">
        <v>1050</v>
      </c>
      <c r="N527" s="8" t="s">
        <v>563</v>
      </c>
      <c r="O527" s="23"/>
      <c r="P527" s="14">
        <f>D527-(F527+H527)*J527-M527-H527*L527</f>
        <v>60</v>
      </c>
      <c r="Q527" s="10">
        <f t="shared" si="24"/>
        <v>0</v>
      </c>
      <c r="R527" s="26">
        <f>(D527-P527)/D527</f>
        <v>0.99076923076923074</v>
      </c>
      <c r="S527" s="41"/>
    </row>
    <row r="528" spans="1:19" ht="24.9" customHeight="1" x14ac:dyDescent="0.25">
      <c r="A528" s="33">
        <v>525</v>
      </c>
      <c r="B528" s="42" t="s">
        <v>527</v>
      </c>
      <c r="C528" s="35" t="s">
        <v>555</v>
      </c>
      <c r="D528" s="35">
        <v>6200</v>
      </c>
      <c r="E528" s="36" t="s">
        <v>261</v>
      </c>
      <c r="F528" s="33">
        <v>1454</v>
      </c>
      <c r="G528" s="33" t="s">
        <v>563</v>
      </c>
      <c r="H528" s="13">
        <v>2</v>
      </c>
      <c r="I528" s="13">
        <v>60</v>
      </c>
      <c r="J528" s="33">
        <v>4</v>
      </c>
      <c r="K528" s="39" t="s">
        <v>251</v>
      </c>
      <c r="L528" s="14">
        <v>0</v>
      </c>
      <c r="M528" s="8">
        <v>0</v>
      </c>
      <c r="N528" s="33"/>
      <c r="O528" s="38" t="s">
        <v>321</v>
      </c>
      <c r="P528" s="14">
        <f>D528-(F528+H528)*J528-M528-H528*L528</f>
        <v>376</v>
      </c>
      <c r="Q528" s="39">
        <f t="shared" si="24"/>
        <v>316</v>
      </c>
      <c r="R528" s="26">
        <f>(D528-P528)/D528</f>
        <v>0.9393548387096774</v>
      </c>
    </row>
    <row r="529" spans="1:18" ht="24.9" customHeight="1" x14ac:dyDescent="0.25">
      <c r="A529" s="8">
        <v>526</v>
      </c>
      <c r="B529" s="6" t="s">
        <v>543</v>
      </c>
      <c r="C529" s="21" t="s">
        <v>360</v>
      </c>
      <c r="D529" s="21">
        <v>6200</v>
      </c>
      <c r="E529" s="13" t="s">
        <v>261</v>
      </c>
      <c r="F529" s="8">
        <v>1310</v>
      </c>
      <c r="G529" s="8" t="s">
        <v>563</v>
      </c>
      <c r="H529" s="13">
        <v>3</v>
      </c>
      <c r="I529" s="13">
        <v>60</v>
      </c>
      <c r="J529" s="8">
        <v>4</v>
      </c>
      <c r="K529" s="14" t="s">
        <v>286</v>
      </c>
      <c r="L529" s="14">
        <v>0</v>
      </c>
      <c r="M529" s="8">
        <v>0</v>
      </c>
      <c r="N529" s="8"/>
      <c r="O529" s="23"/>
      <c r="P529" s="14">
        <f>D529-(F529+H529)*J529-M529-H529*L529</f>
        <v>948</v>
      </c>
      <c r="Q529" s="10">
        <f t="shared" si="24"/>
        <v>888</v>
      </c>
      <c r="R529" s="26">
        <f>(D529-P529)/D529</f>
        <v>0.84709677419354834</v>
      </c>
    </row>
    <row r="530" spans="1:18" ht="24.9" customHeight="1" x14ac:dyDescent="0.25">
      <c r="A530" s="8">
        <v>527</v>
      </c>
      <c r="B530" s="6" t="s">
        <v>544</v>
      </c>
      <c r="C530" s="21" t="s">
        <v>360</v>
      </c>
      <c r="D530" s="21">
        <v>6200</v>
      </c>
      <c r="E530" s="13" t="s">
        <v>261</v>
      </c>
      <c r="F530" s="8">
        <v>1195</v>
      </c>
      <c r="G530" s="8" t="s">
        <v>563</v>
      </c>
      <c r="H530" s="13">
        <v>3</v>
      </c>
      <c r="I530" s="13">
        <v>60</v>
      </c>
      <c r="J530" s="8">
        <v>5</v>
      </c>
      <c r="K530" s="14" t="s">
        <v>286</v>
      </c>
      <c r="L530" s="14">
        <v>0</v>
      </c>
      <c r="M530" s="8">
        <v>0</v>
      </c>
      <c r="N530" s="8"/>
      <c r="O530" s="23"/>
      <c r="P530" s="14">
        <f>D530-(F530+H530)*J530-M530-H530*L530</f>
        <v>210</v>
      </c>
      <c r="Q530" s="10">
        <f t="shared" ref="Q530" si="25">P530-60</f>
        <v>150</v>
      </c>
      <c r="R530" s="26">
        <f>(D530-P530)/D530</f>
        <v>0.96612903225806457</v>
      </c>
    </row>
    <row r="531" spans="1:18" ht="24.9" customHeight="1" x14ac:dyDescent="0.25">
      <c r="A531" s="8">
        <v>528</v>
      </c>
      <c r="B531" s="6" t="s">
        <v>545</v>
      </c>
      <c r="C531" s="21" t="s">
        <v>360</v>
      </c>
      <c r="D531" s="21">
        <v>6200</v>
      </c>
      <c r="E531" s="13" t="s">
        <v>261</v>
      </c>
      <c r="F531" s="8">
        <v>1250</v>
      </c>
      <c r="G531" s="8" t="s">
        <v>563</v>
      </c>
      <c r="H531" s="8">
        <v>2</v>
      </c>
      <c r="I531" s="13">
        <v>60</v>
      </c>
      <c r="J531" s="8">
        <v>4</v>
      </c>
      <c r="K531" s="10" t="s">
        <v>347</v>
      </c>
      <c r="L531" s="14">
        <v>1</v>
      </c>
      <c r="M531" s="8">
        <v>1025</v>
      </c>
      <c r="N531" s="8" t="s">
        <v>563</v>
      </c>
      <c r="O531" s="23"/>
      <c r="P531" s="14">
        <f>D531-(F531+H531)*J531-M531-H531*L531</f>
        <v>165</v>
      </c>
      <c r="Q531" s="10">
        <f t="shared" ref="Q531:Q532" si="26">P531-60</f>
        <v>105</v>
      </c>
      <c r="R531" s="26">
        <f>(D531-P531)/D531</f>
        <v>0.97338709677419355</v>
      </c>
    </row>
    <row r="532" spans="1:18" ht="24.9" customHeight="1" x14ac:dyDescent="0.25">
      <c r="A532" s="8">
        <v>529</v>
      </c>
      <c r="B532" s="6" t="s">
        <v>546</v>
      </c>
      <c r="C532" s="21" t="s">
        <v>360</v>
      </c>
      <c r="D532" s="21">
        <v>6200</v>
      </c>
      <c r="E532" s="13" t="s">
        <v>261</v>
      </c>
      <c r="F532" s="8">
        <v>1210</v>
      </c>
      <c r="G532" s="8" t="s">
        <v>563</v>
      </c>
      <c r="H532" s="13">
        <v>3</v>
      </c>
      <c r="I532" s="13">
        <v>60</v>
      </c>
      <c r="J532" s="8">
        <v>5</v>
      </c>
      <c r="K532" s="14" t="s">
        <v>286</v>
      </c>
      <c r="L532" s="14">
        <v>0</v>
      </c>
      <c r="M532" s="8">
        <v>0</v>
      </c>
      <c r="N532" s="8"/>
      <c r="O532" s="23"/>
      <c r="P532" s="14">
        <f>D532-(F532+H532)*J532-M532-H532*L532</f>
        <v>135</v>
      </c>
      <c r="Q532" s="10">
        <f t="shared" si="26"/>
        <v>75</v>
      </c>
      <c r="R532" s="26">
        <f>(D532-P532)/D532</f>
        <v>0.97822580645161294</v>
      </c>
    </row>
    <row r="533" spans="1:18" ht="24.9" customHeight="1" x14ac:dyDescent="0.25">
      <c r="A533" s="8">
        <v>530</v>
      </c>
      <c r="B533" s="6" t="s">
        <v>547</v>
      </c>
      <c r="C533" s="21" t="s">
        <v>360</v>
      </c>
      <c r="D533" s="21">
        <v>6200</v>
      </c>
      <c r="E533" s="13" t="s">
        <v>261</v>
      </c>
      <c r="F533" s="8">
        <v>1265</v>
      </c>
      <c r="G533" s="8" t="s">
        <v>563</v>
      </c>
      <c r="H533" s="8">
        <v>2</v>
      </c>
      <c r="I533" s="13">
        <v>60</v>
      </c>
      <c r="J533" s="8">
        <v>4</v>
      </c>
      <c r="K533" s="10" t="s">
        <v>347</v>
      </c>
      <c r="L533" s="14">
        <v>1</v>
      </c>
      <c r="M533" s="8">
        <v>1025</v>
      </c>
      <c r="N533" s="8" t="s">
        <v>563</v>
      </c>
      <c r="O533" s="23"/>
      <c r="P533" s="14">
        <f>D533-(F533+H533)*J533-M533-H533*L533</f>
        <v>105</v>
      </c>
      <c r="Q533" s="10">
        <f t="shared" ref="Q533:Q534" si="27">P533-60</f>
        <v>45</v>
      </c>
      <c r="R533" s="26">
        <f>(D533-P533)/D533</f>
        <v>0.98306451612903223</v>
      </c>
    </row>
    <row r="534" spans="1:18" ht="24.9" customHeight="1" x14ac:dyDescent="0.25">
      <c r="A534" s="33">
        <v>531</v>
      </c>
      <c r="B534" s="34" t="s">
        <v>548</v>
      </c>
      <c r="C534" s="35" t="s">
        <v>358</v>
      </c>
      <c r="D534" s="35">
        <v>6300</v>
      </c>
      <c r="E534" s="35" t="s">
        <v>250</v>
      </c>
      <c r="F534" s="36">
        <v>1540</v>
      </c>
      <c r="G534" s="36" t="s">
        <v>563</v>
      </c>
      <c r="H534" s="13">
        <v>3</v>
      </c>
      <c r="I534" s="13">
        <v>60</v>
      </c>
      <c r="J534" s="33">
        <v>4</v>
      </c>
      <c r="K534" s="39" t="s">
        <v>251</v>
      </c>
      <c r="L534" s="14">
        <v>0</v>
      </c>
      <c r="M534" s="8">
        <v>0</v>
      </c>
      <c r="N534" s="46"/>
      <c r="O534" s="38" t="s">
        <v>317</v>
      </c>
      <c r="P534" s="14">
        <f>D534-(F534+H534)*J534-M534-H534*L534</f>
        <v>128</v>
      </c>
      <c r="Q534" s="39">
        <f t="shared" si="27"/>
        <v>68</v>
      </c>
      <c r="R534" s="26">
        <f>(D534-P534)/D534</f>
        <v>0.97968253968253971</v>
      </c>
    </row>
    <row r="535" spans="1:18" ht="24.9" customHeight="1" x14ac:dyDescent="0.25">
      <c r="A535" s="33">
        <v>532</v>
      </c>
      <c r="B535" s="34" t="s">
        <v>549</v>
      </c>
      <c r="C535" s="35" t="s">
        <v>358</v>
      </c>
      <c r="D535" s="35">
        <v>5900</v>
      </c>
      <c r="E535" s="35" t="s">
        <v>250</v>
      </c>
      <c r="F535" s="36">
        <v>1156</v>
      </c>
      <c r="G535" s="36" t="s">
        <v>563</v>
      </c>
      <c r="H535" s="13">
        <v>3</v>
      </c>
      <c r="I535" s="13">
        <v>60</v>
      </c>
      <c r="J535" s="33">
        <v>5</v>
      </c>
      <c r="K535" s="39" t="s">
        <v>251</v>
      </c>
      <c r="L535" s="14">
        <v>0</v>
      </c>
      <c r="M535" s="8">
        <v>0</v>
      </c>
      <c r="N535" s="46"/>
      <c r="O535" s="38" t="s">
        <v>317</v>
      </c>
      <c r="P535" s="14">
        <f>D535-(F535+H535)*J535-M535-H535*L535</f>
        <v>105</v>
      </c>
      <c r="Q535" s="39">
        <f t="shared" ref="Q535:Q536" si="28">P535-60</f>
        <v>45</v>
      </c>
      <c r="R535" s="26">
        <f>(D535-P535)/D535</f>
        <v>0.98220338983050848</v>
      </c>
    </row>
    <row r="536" spans="1:18" ht="24.9" customHeight="1" x14ac:dyDescent="0.25">
      <c r="A536" s="8">
        <v>533</v>
      </c>
      <c r="B536" s="6" t="s">
        <v>550</v>
      </c>
      <c r="C536" s="21" t="s">
        <v>358</v>
      </c>
      <c r="D536" s="21">
        <v>5700</v>
      </c>
      <c r="E536" s="21" t="s">
        <v>250</v>
      </c>
      <c r="F536" s="13">
        <v>617.5</v>
      </c>
      <c r="G536" s="13" t="s">
        <v>563</v>
      </c>
      <c r="H536" s="13">
        <v>3</v>
      </c>
      <c r="I536" s="13">
        <v>60</v>
      </c>
      <c r="J536" s="8">
        <v>9</v>
      </c>
      <c r="K536" s="10" t="s">
        <v>251</v>
      </c>
      <c r="L536" s="14">
        <v>0</v>
      </c>
      <c r="M536" s="8">
        <v>0</v>
      </c>
      <c r="N536" s="22"/>
      <c r="O536" s="23" t="s">
        <v>288</v>
      </c>
      <c r="P536" s="14">
        <f>D536-(F536+H536)*J536-M536-H536*L536</f>
        <v>115.5</v>
      </c>
      <c r="Q536" s="10">
        <f t="shared" si="28"/>
        <v>55.5</v>
      </c>
      <c r="R536" s="26">
        <f>(D536-P536)/D536</f>
        <v>0.97973684210526313</v>
      </c>
    </row>
  </sheetData>
  <autoFilter ref="A2:P536" xr:uid="{00000000-0009-0000-0000-000002000000}">
    <sortState xmlns:xlrd2="http://schemas.microsoft.com/office/spreadsheetml/2017/richdata2" ref="A4:P388">
      <sortCondition ref="A2:A388"/>
    </sortState>
  </autoFilter>
  <mergeCells count="13">
    <mergeCell ref="A1:A2"/>
    <mergeCell ref="B1:B2"/>
    <mergeCell ref="O1:O2"/>
    <mergeCell ref="F1:F2"/>
    <mergeCell ref="E1:E2"/>
    <mergeCell ref="J1:N1"/>
    <mergeCell ref="C1:D1"/>
    <mergeCell ref="G1:G2"/>
    <mergeCell ref="H1:H2"/>
    <mergeCell ref="I1:I2"/>
    <mergeCell ref="R1:R2"/>
    <mergeCell ref="Q1:Q2"/>
    <mergeCell ref="P1:P2"/>
  </mergeCells>
  <phoneticPr fontId="6" type="noConversion"/>
  <printOptions horizontalCentered="1"/>
  <pageMargins left="0" right="0" top="0.35433070866141736" bottom="0.35433070866141736" header="0.31496062992125984" footer="0.11811023622047245"/>
  <pageSetup paperSize="9" orientation="landscape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半轴下料卡(20251226)</vt:lpstr>
      <vt:lpstr>'半轴下料卡(20251226)'!Print_Area</vt:lpstr>
      <vt:lpstr>'半轴下料卡(20251226)'!Print_Titles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张良清</dc:creator>
  <cp:lastModifiedBy>Administrator</cp:lastModifiedBy>
  <cp:lastPrinted>2025-11-24T09:07:46Z</cp:lastPrinted>
  <dcterms:created xsi:type="dcterms:W3CDTF">2019-11-13T08:06:00Z</dcterms:created>
  <dcterms:modified xsi:type="dcterms:W3CDTF">2026-09-20T02:44:50Z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2052-12.1.0.18345</vt:lpwstr>
  </property>
  <property fmtid="{D5CDD505-2E9C-101B-9397-08002B2CF9AE}" pid="3" name="ICV">
    <vt:lpwstr>CF9D2FD86A0745BF8CCF05507DBEF65E_13</vt:lpwstr>
  </property>
</Properties>
</file>